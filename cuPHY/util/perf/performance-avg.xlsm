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erial_sdk\cuPHY\util\perf\"/>
    </mc:Choice>
  </mc:AlternateContent>
  <xr:revisionPtr revIDLastSave="0" documentId="13_ncr:1_{D7E5C9BC-EF8E-4E45-AE6E-77EB26F4583E}" xr6:coauthVersionLast="47" xr6:coauthVersionMax="47" xr10:uidLastSave="{00000000-0000-0000-0000-000000000000}"/>
  <bookViews>
    <workbookView xWindow="-110" yWindow="-110" windowWidth="25820" windowHeight="13900" tabRatio="931" activeTab="4" xr2:uid="{E70F5F0B-A5BA-4AD9-BF50-FA9737804343}"/>
  </bookViews>
  <sheets>
    <sheet name="F01 - PDSCH" sheetId="27" r:id="rId1"/>
    <sheet name="F01 - PUSCH" sheetId="28" r:id="rId2"/>
    <sheet name="F08 - PDSCH" sheetId="29" r:id="rId3"/>
    <sheet name="F08 - PUSCH" sheetId="30" r:id="rId4"/>
    <sheet name="F09 - PDSCH" sheetId="31" r:id="rId5"/>
    <sheet name="F14 - PDSCH" sheetId="23" r:id="rId6"/>
    <sheet name="F14 - PUSCH" sheetId="5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7" i="30" l="1"/>
  <c r="X7" i="30"/>
  <c r="W7" i="30"/>
  <c r="V7" i="30"/>
  <c r="U7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Y7" i="29"/>
  <c r="X7" i="29"/>
  <c r="W7" i="29"/>
  <c r="V7" i="29"/>
  <c r="U7" i="29"/>
  <c r="T7" i="29"/>
  <c r="S7" i="29"/>
  <c r="R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T26" i="28" a="1"/>
  <c r="T27" i="30" a="1"/>
  <c r="P26" i="30" a="1"/>
  <c r="L27" i="30" a="1"/>
  <c r="U27" i="30" a="1"/>
  <c r="T27" i="28" a="1"/>
  <c r="I27" i="30" a="1"/>
  <c r="V27" i="28" a="1"/>
  <c r="E26" i="30" a="1"/>
  <c r="I26" i="27" a="1"/>
  <c r="V27" i="30" a="1"/>
  <c r="M27" i="30" a="1"/>
  <c r="R26" i="28" a="1"/>
  <c r="J26" i="30" a="1"/>
  <c r="F27" i="27" a="1"/>
  <c r="O27" i="28" a="1"/>
  <c r="L27" i="27" a="1"/>
  <c r="U26" i="27" a="1"/>
  <c r="S26" i="30" a="1"/>
  <c r="S27" i="28" a="1"/>
  <c r="L26" i="27" a="1"/>
  <c r="L26" i="28" a="1"/>
  <c r="I27" i="28" a="1"/>
  <c r="E27" i="30" a="1"/>
  <c r="N27" i="27" a="1"/>
  <c r="N27" i="28" a="1"/>
  <c r="R27" i="30" a="1"/>
  <c r="H27" i="30" a="1"/>
  <c r="G26" i="30" a="1"/>
  <c r="O26" i="27" a="1"/>
  <c r="N26" i="27" a="1"/>
  <c r="T26" i="30" a="1"/>
  <c r="N26" i="28" a="1"/>
  <c r="U26" i="28" a="1"/>
  <c r="O26" i="30" a="1"/>
  <c r="G27" i="30" a="1"/>
  <c r="P27" i="30" a="1"/>
  <c r="D27" i="31" a="1"/>
  <c r="H27" i="28" a="1"/>
  <c r="J26" i="28" a="1"/>
  <c r="F26" i="28" a="1"/>
  <c r="Q27" i="27" a="1"/>
  <c r="D26" i="31" a="1"/>
  <c r="R26" i="27" a="1"/>
  <c r="S27" i="27" a="1"/>
  <c r="H26" i="27" a="1"/>
  <c r="K26" i="28" a="1"/>
  <c r="F26" i="27" a="1"/>
  <c r="W27" i="30" a="1"/>
  <c r="I26" i="30" a="1"/>
  <c r="O26" i="28" a="1"/>
  <c r="X27" i="30" a="1"/>
  <c r="L26" i="30" a="1"/>
  <c r="P27" i="28" a="1"/>
  <c r="W26" i="30" a="1"/>
  <c r="N27" i="30" a="1"/>
  <c r="H26" i="30" a="1"/>
  <c r="E26" i="27" a="1"/>
  <c r="G26" i="27" a="1"/>
  <c r="Q26" i="28" a="1"/>
  <c r="F26" i="30" a="1"/>
  <c r="E27" i="28" a="1"/>
  <c r="J26" i="27" a="1"/>
  <c r="D27" i="27" a="1"/>
  <c r="N26" i="30" a="1"/>
  <c r="V26" i="27" a="1"/>
  <c r="S26" i="27" a="1"/>
  <c r="G27" i="28" a="1"/>
  <c r="H26" i="28" a="1"/>
  <c r="D26" i="27" a="1"/>
  <c r="D26" i="28" a="1"/>
  <c r="K27" i="30" a="1"/>
  <c r="T27" i="27" a="1"/>
  <c r="Q27" i="28" a="1"/>
  <c r="Q26" i="27" a="1"/>
  <c r="P26" i="28" a="1"/>
  <c r="J27" i="30" a="1"/>
  <c r="V26" i="30" a="1"/>
  <c r="R27" i="28" a="1"/>
  <c r="Q26" i="30" a="1"/>
  <c r="S26" i="28" a="1"/>
  <c r="D26" i="30" a="1"/>
  <c r="K27" i="27" a="1"/>
  <c r="U27" i="28" a="1"/>
  <c r="F27" i="28" a="1"/>
  <c r="K27" i="28" a="1"/>
  <c r="M26" i="28" a="1"/>
  <c r="I26" i="28" a="1"/>
  <c r="H27" i="27" a="1"/>
  <c r="Q27" i="30" a="1"/>
  <c r="T26" i="27" a="1"/>
  <c r="S27" i="30" a="1"/>
  <c r="M27" i="27" a="1"/>
  <c r="E27" i="31" a="1"/>
  <c r="P26" i="27" a="1"/>
  <c r="E26" i="31" a="1"/>
  <c r="K26" i="30" a="1"/>
  <c r="L27" i="28" a="1"/>
  <c r="K26" i="27" a="1"/>
  <c r="R27" i="27" a="1"/>
  <c r="Y27" i="30" a="1"/>
  <c r="E27" i="27" a="1"/>
  <c r="I27" i="27" a="1"/>
  <c r="O27" i="27" a="1"/>
  <c r="X26" i="30" a="1"/>
  <c r="U27" i="27" a="1"/>
  <c r="R26" i="30" a="1"/>
  <c r="D27" i="28" a="1"/>
  <c r="F27" i="30" a="1"/>
  <c r="V27" i="27" a="1"/>
  <c r="M26" i="27" a="1"/>
  <c r="M26" i="30" a="1"/>
  <c r="D27" i="30" a="1"/>
  <c r="V26" i="28" a="1"/>
  <c r="G26" i="28" a="1"/>
  <c r="O27" i="30" a="1"/>
  <c r="J27" i="28" a="1"/>
  <c r="P27" i="27" a="1"/>
  <c r="G27" i="27" a="1"/>
  <c r="E26" i="28" a="1"/>
  <c r="J27" i="27" a="1"/>
  <c r="M27" i="28" a="1"/>
  <c r="Y26" i="30" a="1"/>
  <c r="U26" i="30" a="1"/>
  <c r="G26" i="23" a="1"/>
  <c r="G27" i="23" a="1"/>
  <c r="F27" i="23" a="1"/>
  <c r="F26" i="23" a="1"/>
  <c r="E27" i="23" a="1"/>
  <c r="E26" i="23" a="1"/>
  <c r="G27" i="31" a="1"/>
  <c r="G26" i="31" a="1"/>
  <c r="F27" i="31" a="1"/>
  <c r="F26" i="31" a="1"/>
  <c r="H26" i="29" a="1"/>
  <c r="L27" i="29" a="1"/>
  <c r="M27" i="29" a="1"/>
  <c r="U27" i="29" a="1"/>
  <c r="L26" i="29" a="1"/>
  <c r="T26" i="29" a="1"/>
  <c r="T27" i="29" a="1"/>
  <c r="V27" i="29" a="1"/>
  <c r="Y27" i="29" a="1"/>
  <c r="Q26" i="29" a="1"/>
  <c r="F27" i="29" a="1"/>
  <c r="E27" i="29" a="1"/>
  <c r="G27" i="29" a="1"/>
  <c r="K27" i="29" a="1"/>
  <c r="M26" i="29" a="1"/>
  <c r="R27" i="29" a="1"/>
  <c r="P26" i="29" a="1"/>
  <c r="W26" i="29" a="1"/>
  <c r="U26" i="29" a="1"/>
  <c r="I27" i="29" a="1"/>
  <c r="J27" i="29" a="1"/>
  <c r="F26" i="29" a="1"/>
  <c r="P27" i="29" a="1"/>
  <c r="W27" i="29" a="1"/>
  <c r="N27" i="29" a="1"/>
  <c r="E26" i="29" a="1"/>
  <c r="O26" i="29" a="1"/>
  <c r="D26" i="29" a="1"/>
  <c r="G26" i="29" a="1"/>
  <c r="N26" i="29" a="1"/>
  <c r="O27" i="29" a="1"/>
  <c r="J26" i="29" a="1"/>
  <c r="Q27" i="29" a="1"/>
  <c r="D27" i="29" a="1"/>
  <c r="V26" i="29" a="1"/>
  <c r="Y26" i="29" a="1"/>
  <c r="S27" i="29" a="1"/>
  <c r="I26" i="29" a="1"/>
  <c r="X26" i="29" a="1"/>
  <c r="S26" i="29" a="1"/>
  <c r="X27" i="29" a="1"/>
  <c r="R26" i="29" a="1"/>
  <c r="H27" i="29" a="1"/>
  <c r="K26" i="29" a="1"/>
  <c r="G26" i="31" l="1"/>
  <c r="G27" i="31"/>
  <c r="F26" i="31"/>
  <c r="F27" i="31"/>
  <c r="G27" i="23"/>
  <c r="G26" i="23"/>
  <c r="F26" i="23"/>
  <c r="F27" i="23"/>
  <c r="E26" i="23"/>
  <c r="E27" i="23"/>
  <c r="E26" i="31"/>
  <c r="E27" i="31"/>
  <c r="D26" i="31"/>
  <c r="D27" i="31"/>
  <c r="J26" i="30"/>
  <c r="P26" i="30"/>
  <c r="I26" i="30"/>
  <c r="L27" i="30"/>
  <c r="S26" i="30"/>
  <c r="K26" i="30"/>
  <c r="N27" i="30"/>
  <c r="J27" i="30"/>
  <c r="Y26" i="30"/>
  <c r="T27" i="30"/>
  <c r="U27" i="30"/>
  <c r="E26" i="30"/>
  <c r="M26" i="30"/>
  <c r="U26" i="30"/>
  <c r="G27" i="30"/>
  <c r="O27" i="30"/>
  <c r="W27" i="30"/>
  <c r="D27" i="30"/>
  <c r="D26" i="30"/>
  <c r="S27" i="30"/>
  <c r="R26" i="30"/>
  <c r="F27" i="30"/>
  <c r="F26" i="30"/>
  <c r="R27" i="30"/>
  <c r="V27" i="30"/>
  <c r="N26" i="30"/>
  <c r="P27" i="30"/>
  <c r="X27" i="30"/>
  <c r="H26" i="30"/>
  <c r="Q26" i="30"/>
  <c r="M27" i="30"/>
  <c r="T26" i="30"/>
  <c r="H27" i="30"/>
  <c r="O26" i="30"/>
  <c r="W26" i="30"/>
  <c r="I27" i="30"/>
  <c r="Q27" i="30"/>
  <c r="Y27" i="30"/>
  <c r="X26" i="30"/>
  <c r="K27" i="30"/>
  <c r="E27" i="30"/>
  <c r="L26" i="30"/>
  <c r="V26" i="30"/>
  <c r="G26" i="30"/>
  <c r="H26" i="29"/>
  <c r="P26" i="29"/>
  <c r="X26" i="29"/>
  <c r="J27" i="29"/>
  <c r="R27" i="29"/>
  <c r="I26" i="29"/>
  <c r="Q26" i="29"/>
  <c r="Y26" i="29"/>
  <c r="K27" i="29"/>
  <c r="S27" i="29"/>
  <c r="J26" i="29"/>
  <c r="R26" i="29"/>
  <c r="D27" i="29"/>
  <c r="L27" i="29"/>
  <c r="T27" i="29"/>
  <c r="K26" i="29"/>
  <c r="S26" i="29"/>
  <c r="E27" i="29"/>
  <c r="M27" i="29"/>
  <c r="U27" i="29"/>
  <c r="D26" i="29"/>
  <c r="L26" i="29"/>
  <c r="T26" i="29"/>
  <c r="F27" i="29"/>
  <c r="N27" i="29"/>
  <c r="V27" i="29"/>
  <c r="E26" i="29"/>
  <c r="M26" i="29"/>
  <c r="U26" i="29"/>
  <c r="G27" i="29"/>
  <c r="O27" i="29"/>
  <c r="W27" i="29"/>
  <c r="F26" i="29"/>
  <c r="N26" i="29"/>
  <c r="V26" i="29"/>
  <c r="H27" i="29"/>
  <c r="P27" i="29"/>
  <c r="X27" i="29"/>
  <c r="G26" i="29"/>
  <c r="O26" i="29"/>
  <c r="W26" i="29"/>
  <c r="I27" i="29"/>
  <c r="Q27" i="29"/>
  <c r="Y27" i="29"/>
  <c r="Q26" i="27"/>
  <c r="P27" i="27"/>
  <c r="I27" i="27"/>
  <c r="J27" i="27"/>
  <c r="U26" i="27"/>
  <c r="N26" i="27"/>
  <c r="V26" i="27"/>
  <c r="L27" i="27"/>
  <c r="T27" i="27"/>
  <c r="O27" i="27"/>
  <c r="R26" i="27"/>
  <c r="Q27" i="27"/>
  <c r="T26" i="27"/>
  <c r="M26" i="27"/>
  <c r="M27" i="27"/>
  <c r="I26" i="27"/>
  <c r="H27" i="27"/>
  <c r="S26" i="27"/>
  <c r="R27" i="27"/>
  <c r="K27" i="27"/>
  <c r="G26" i="27"/>
  <c r="O26" i="27"/>
  <c r="E27" i="27"/>
  <c r="U27" i="27"/>
  <c r="E26" i="27"/>
  <c r="P26" i="27"/>
  <c r="V27" i="27"/>
  <c r="G27" i="27"/>
  <c r="J26" i="27"/>
  <c r="K26" i="27"/>
  <c r="L26" i="27"/>
  <c r="S27" i="27"/>
  <c r="F26" i="27"/>
  <c r="H26" i="27"/>
  <c r="F27" i="27"/>
  <c r="N27" i="27"/>
  <c r="D27" i="27"/>
  <c r="D26" i="27"/>
  <c r="H27" i="28"/>
  <c r="I26" i="28"/>
  <c r="G27" i="28"/>
  <c r="R26" i="28"/>
  <c r="Q27" i="28"/>
  <c r="U26" i="28"/>
  <c r="Q26" i="28"/>
  <c r="O27" i="28"/>
  <c r="P27" i="28"/>
  <c r="K26" i="28"/>
  <c r="J27" i="28"/>
  <c r="E26" i="28"/>
  <c r="K27" i="28"/>
  <c r="N26" i="28"/>
  <c r="T27" i="28"/>
  <c r="O26" i="28"/>
  <c r="E27" i="28"/>
  <c r="M27" i="28"/>
  <c r="U27" i="28"/>
  <c r="J26" i="28"/>
  <c r="I27" i="28"/>
  <c r="L26" i="28"/>
  <c r="T26" i="28"/>
  <c r="R27" i="28"/>
  <c r="M26" i="28"/>
  <c r="S27" i="28"/>
  <c r="F26" i="28"/>
  <c r="V26" i="28"/>
  <c r="L27" i="28"/>
  <c r="G26" i="28"/>
  <c r="H26" i="28"/>
  <c r="P26" i="28"/>
  <c r="V27" i="28"/>
  <c r="S26" i="28"/>
  <c r="F27" i="28"/>
  <c r="N27" i="28"/>
  <c r="D27" i="28"/>
  <c r="D26" i="28"/>
  <c r="Q28" i="30" a="1"/>
  <c r="N29" i="30" a="1"/>
  <c r="N29" i="27" a="1"/>
  <c r="O26" i="5" a="1"/>
  <c r="I30" i="27" a="1"/>
  <c r="I30" i="28" a="1"/>
  <c r="E27" i="5" a="1"/>
  <c r="K30" i="27" a="1"/>
  <c r="U31" i="28" a="1"/>
  <c r="O27" i="5" a="1"/>
  <c r="R30" i="27" a="1"/>
  <c r="D30" i="28" a="1"/>
  <c r="P30" i="28" a="1"/>
  <c r="K29" i="27" a="1"/>
  <c r="L27" i="5" a="1"/>
  <c r="N30" i="28" a="1"/>
  <c r="P28" i="27" a="1"/>
  <c r="T28" i="28" a="1"/>
  <c r="G30" i="30" a="1"/>
  <c r="T29" i="27" a="1"/>
  <c r="P30" i="30" a="1"/>
  <c r="D28" i="31" a="1"/>
  <c r="D29" i="31" a="1"/>
  <c r="D30" i="31" a="1"/>
  <c r="D31" i="31" a="1"/>
  <c r="D29" i="27" a="1"/>
  <c r="I27" i="5" a="1"/>
  <c r="U29" i="27" a="1"/>
  <c r="S30" i="30" a="1"/>
  <c r="I28" i="30" a="1"/>
  <c r="O30" i="27" a="1"/>
  <c r="Q28" i="27" a="1"/>
  <c r="U30" i="28" a="1"/>
  <c r="V30" i="28" a="1"/>
  <c r="Q28" i="28" a="1"/>
  <c r="R26" i="5" a="1"/>
  <c r="J28" i="28" a="1"/>
  <c r="F31" i="28" a="1"/>
  <c r="J28" i="27" a="1"/>
  <c r="V26" i="5" a="1"/>
  <c r="H28" i="30" a="1"/>
  <c r="O29" i="28" a="1"/>
  <c r="G27" i="5" a="1"/>
  <c r="L28" i="27" a="1"/>
  <c r="V27" i="5" a="1"/>
  <c r="R28" i="30" a="1"/>
  <c r="V28" i="27" a="1"/>
  <c r="U29" i="30" a="1"/>
  <c r="L30" i="27" a="1"/>
  <c r="J31" i="30" a="1"/>
  <c r="I29" i="27" a="1"/>
  <c r="H26" i="5" a="1"/>
  <c r="L31" i="30" a="1"/>
  <c r="N31" i="28" a="1"/>
  <c r="D31" i="27" a="1"/>
  <c r="T28" i="30" a="1"/>
  <c r="P29" i="30" a="1"/>
  <c r="O29" i="30" a="1"/>
  <c r="F28" i="28" a="1"/>
  <c r="Y26" i="5" a="1"/>
  <c r="J30" i="30" a="1"/>
  <c r="Q29" i="27" a="1"/>
  <c r="M28" i="30" a="1"/>
  <c r="U29" i="28" a="1"/>
  <c r="P31" i="28" a="1"/>
  <c r="T30" i="30" a="1"/>
  <c r="E30" i="27" a="1"/>
  <c r="G28" i="27" a="1"/>
  <c r="M31" i="28" a="1"/>
  <c r="P27" i="5" a="1"/>
  <c r="S29" i="27" a="1"/>
  <c r="H28" i="28" a="1"/>
  <c r="P30" i="27" a="1"/>
  <c r="L28" i="28" a="1"/>
  <c r="I31" i="30" a="1"/>
  <c r="U26" i="5" a="1"/>
  <c r="J29" i="27" a="1"/>
  <c r="P29" i="28" a="1"/>
  <c r="L31" i="27" a="1"/>
  <c r="F31" i="30" a="1"/>
  <c r="J29" i="30" a="1"/>
  <c r="H29" i="30" a="1"/>
  <c r="V29" i="27" a="1"/>
  <c r="J26" i="5" a="1"/>
  <c r="I26" i="5" a="1"/>
  <c r="S29" i="28" a="1"/>
  <c r="S31" i="30" a="1"/>
  <c r="E29" i="30" a="1"/>
  <c r="S27" i="5" a="1"/>
  <c r="X31" i="30" a="1"/>
  <c r="M27" i="5" a="1"/>
  <c r="F30" i="30" a="1"/>
  <c r="F29" i="28" a="1"/>
  <c r="Q29" i="30" a="1"/>
  <c r="V31" i="27" a="1"/>
  <c r="G31" i="30" a="1"/>
  <c r="I29" i="30" a="1"/>
  <c r="J30" i="28" a="1"/>
  <c r="T31" i="28" a="1"/>
  <c r="P31" i="27" a="1"/>
  <c r="M28" i="27" a="1"/>
  <c r="K26" i="5" a="1"/>
  <c r="K28" i="28" a="1"/>
  <c r="H30" i="28" a="1"/>
  <c r="G31" i="28" a="1"/>
  <c r="K30" i="30" a="1"/>
  <c r="K28" i="30" a="1"/>
  <c r="M31" i="27" a="1"/>
  <c r="J27" i="5" a="1"/>
  <c r="O31" i="28" a="1"/>
  <c r="M30" i="30" a="1"/>
  <c r="K31" i="28" a="1"/>
  <c r="G29" i="28" a="1"/>
  <c r="O31" i="27" a="1"/>
  <c r="S31" i="27" a="1"/>
  <c r="N28" i="30" a="1"/>
  <c r="V28" i="28" a="1"/>
  <c r="G26" i="5" a="1"/>
  <c r="K30" i="28" a="1"/>
  <c r="L26" i="5" a="1"/>
  <c r="O31" i="30" a="1"/>
  <c r="D28" i="30" a="1"/>
  <c r="I28" i="28" a="1"/>
  <c r="D30" i="30" a="1"/>
  <c r="O30" i="28" a="1"/>
  <c r="E26" i="5" a="1"/>
  <c r="R30" i="30" a="1"/>
  <c r="W29" i="30" a="1"/>
  <c r="R28" i="27" a="1"/>
  <c r="J31" i="28" a="1"/>
  <c r="J30" i="27" a="1"/>
  <c r="W27" i="5" a="1"/>
  <c r="D26" i="5" a="1"/>
  <c r="X30" i="30" a="1"/>
  <c r="F29" i="27" a="1"/>
  <c r="H29" i="27" a="1"/>
  <c r="D29" i="28" a="1"/>
  <c r="F28" i="30" a="1"/>
  <c r="D30" i="27" a="1"/>
  <c r="J31" i="27" a="1"/>
  <c r="M26" i="5" a="1"/>
  <c r="E29" i="27" a="1"/>
  <c r="Q30" i="27" a="1"/>
  <c r="X27" i="5" a="1"/>
  <c r="E30" i="30" a="1"/>
  <c r="U28" i="28" a="1"/>
  <c r="Y29" i="30" a="1"/>
  <c r="N28" i="28" a="1"/>
  <c r="R31" i="28" a="1"/>
  <c r="S30" i="28" a="1"/>
  <c r="F27" i="5" a="1"/>
  <c r="U28" i="30" a="1"/>
  <c r="S28" i="27" a="1"/>
  <c r="Q26" i="5" a="1"/>
  <c r="F30" i="27" a="1"/>
  <c r="M29" i="28" a="1"/>
  <c r="G28" i="28" a="1"/>
  <c r="P29" i="27" a="1"/>
  <c r="K28" i="27" a="1"/>
  <c r="F29" i="30" a="1"/>
  <c r="V30" i="30" a="1"/>
  <c r="H30" i="27" a="1"/>
  <c r="T31" i="30" a="1"/>
  <c r="J29" i="28" a="1"/>
  <c r="S28" i="30" a="1"/>
  <c r="L29" i="28" a="1"/>
  <c r="T30" i="27" a="1"/>
  <c r="Q30" i="28" a="1"/>
  <c r="I29" i="28" a="1"/>
  <c r="E31" i="27" a="1"/>
  <c r="T28" i="27" a="1"/>
  <c r="W30" i="30" a="1"/>
  <c r="Q27" i="5" a="1"/>
  <c r="R29" i="30" a="1"/>
  <c r="L31" i="28" a="1"/>
  <c r="V31" i="28" a="1"/>
  <c r="Y27" i="5" a="1"/>
  <c r="K27" i="5" a="1"/>
  <c r="G31" i="27" a="1"/>
  <c r="G29" i="27" a="1"/>
  <c r="U28" i="27" a="1"/>
  <c r="R27" i="5" a="1"/>
  <c r="N26" i="5" a="1"/>
  <c r="P26" i="5" a="1"/>
  <c r="M29" i="30" a="1"/>
  <c r="Q31" i="28" a="1"/>
  <c r="V29" i="28" a="1"/>
  <c r="H31" i="28" a="1"/>
  <c r="Q29" i="28" a="1"/>
  <c r="K31" i="27" a="1"/>
  <c r="Y28" i="30" a="1"/>
  <c r="N28" i="27" a="1"/>
  <c r="O30" i="30" a="1"/>
  <c r="P31" i="30" a="1"/>
  <c r="Q31" i="30" a="1"/>
  <c r="O28" i="27" a="1"/>
  <c r="F31" i="27" a="1"/>
  <c r="H28" i="27" a="1"/>
  <c r="Q30" i="30" a="1"/>
  <c r="S28" i="28" a="1"/>
  <c r="E28" i="30" a="1"/>
  <c r="T26" i="5" a="1"/>
  <c r="R31" i="30" a="1"/>
  <c r="R29" i="27" a="1"/>
  <c r="R30" i="28" a="1"/>
  <c r="G29" i="30" a="1"/>
  <c r="N30" i="30" a="1"/>
  <c r="D31" i="28" a="1"/>
  <c r="L29" i="27" a="1"/>
  <c r="V31" i="30" a="1"/>
  <c r="E31" i="30" a="1"/>
  <c r="D29" i="30" a="1"/>
  <c r="L30" i="30" a="1"/>
  <c r="T29" i="30" a="1"/>
  <c r="U30" i="30" a="1"/>
  <c r="H30" i="30" a="1"/>
  <c r="G30" i="28" a="1"/>
  <c r="Q31" i="27" a="1"/>
  <c r="S30" i="27" a="1"/>
  <c r="I28" i="27" a="1"/>
  <c r="T31" i="27" a="1"/>
  <c r="T29" i="28" a="1"/>
  <c r="S31" i="28" a="1"/>
  <c r="W31" i="30" a="1"/>
  <c r="H27" i="5" a="1"/>
  <c r="H31" i="30" a="1"/>
  <c r="X26" i="5" a="1"/>
  <c r="L28" i="30" a="1"/>
  <c r="F30" i="28" a="1"/>
  <c r="D27" i="5" a="1"/>
  <c r="K29" i="30" a="1"/>
  <c r="L29" i="30" a="1"/>
  <c r="U31" i="30" a="1"/>
  <c r="I31" i="27" a="1"/>
  <c r="S26" i="5" a="1"/>
  <c r="E30" i="28" a="1"/>
  <c r="O29" i="27" a="1"/>
  <c r="M30" i="28" a="1"/>
  <c r="E31" i="28" a="1"/>
  <c r="D28" i="27" a="1"/>
  <c r="E28" i="28" a="1"/>
  <c r="I31" i="28" a="1"/>
  <c r="M28" i="28" a="1"/>
  <c r="E28" i="27" a="1"/>
  <c r="K29" i="28" a="1"/>
  <c r="T27" i="5" a="1"/>
  <c r="O28" i="30" a="1"/>
  <c r="N27" i="5" a="1"/>
  <c r="D31" i="30" a="1"/>
  <c r="O28" i="28" a="1"/>
  <c r="H31" i="27" a="1"/>
  <c r="U27" i="5" a="1"/>
  <c r="X28" i="30" a="1"/>
  <c r="H29" i="28" a="1"/>
  <c r="J28" i="30" a="1"/>
  <c r="N31" i="30" a="1"/>
  <c r="X29" i="30" a="1"/>
  <c r="W28" i="30" a="1"/>
  <c r="P28" i="28" a="1"/>
  <c r="G28" i="30" a="1"/>
  <c r="E28" i="31" a="1"/>
  <c r="E29" i="31" a="1"/>
  <c r="E30" i="31" a="1"/>
  <c r="E31" i="31" a="1"/>
  <c r="K31" i="30" a="1"/>
  <c r="F28" i="27" a="1"/>
  <c r="M29" i="27" a="1"/>
  <c r="N29" i="28" a="1"/>
  <c r="N31" i="27" a="1"/>
  <c r="R29" i="28" a="1"/>
  <c r="U31" i="27" a="1"/>
  <c r="R28" i="28" a="1"/>
  <c r="S29" i="30" a="1"/>
  <c r="G30" i="27" a="1"/>
  <c r="Y31" i="30" a="1"/>
  <c r="P28" i="30" a="1"/>
  <c r="V29" i="30" a="1"/>
  <c r="V28" i="30" a="1"/>
  <c r="V30" i="27" a="1"/>
  <c r="M31" i="30" a="1"/>
  <c r="I30" i="30" a="1"/>
  <c r="L30" i="28" a="1"/>
  <c r="M30" i="27" a="1"/>
  <c r="U30" i="27" a="1"/>
  <c r="E29" i="28" a="1"/>
  <c r="R31" i="27" a="1"/>
  <c r="Y30" i="30" a="1"/>
  <c r="N30" i="27" a="1"/>
  <c r="W26" i="5" a="1"/>
  <c r="D28" i="28" a="1"/>
  <c r="F26" i="5" a="1"/>
  <c r="T30" i="28" a="1"/>
  <c r="G29" i="23" a="1"/>
  <c r="G30" i="23" a="1"/>
  <c r="G31" i="23" a="1"/>
  <c r="G28" i="23" a="1"/>
  <c r="F30" i="23" a="1"/>
  <c r="F28" i="23" a="1"/>
  <c r="F31" i="23" a="1"/>
  <c r="F29" i="23" a="1"/>
  <c r="P26" i="23" a="1"/>
  <c r="AA27" i="23" a="1"/>
  <c r="M27" i="23" a="1"/>
  <c r="K26" i="23" a="1"/>
  <c r="Y26" i="23" a="1"/>
  <c r="AA26" i="23" a="1"/>
  <c r="W26" i="23" a="1"/>
  <c r="AB27" i="23" a="1"/>
  <c r="R27" i="23" a="1"/>
  <c r="J26" i="23" a="1"/>
  <c r="X27" i="23" a="1"/>
  <c r="Q26" i="23" a="1"/>
  <c r="L26" i="23" a="1"/>
  <c r="X26" i="23" a="1"/>
  <c r="U27" i="23" a="1"/>
  <c r="U26" i="23" a="1"/>
  <c r="S27" i="23" a="1"/>
  <c r="V26" i="23" a="1"/>
  <c r="T27" i="23" a="1"/>
  <c r="H27" i="23" a="1"/>
  <c r="P27" i="23" a="1"/>
  <c r="E30" i="23" a="1"/>
  <c r="R26" i="23" a="1"/>
  <c r="V27" i="23" a="1"/>
  <c r="M26" i="23" a="1"/>
  <c r="O27" i="23" a="1"/>
  <c r="N26" i="23" a="1"/>
  <c r="H26" i="23" a="1"/>
  <c r="S26" i="23" a="1"/>
  <c r="E28" i="23" a="1"/>
  <c r="D26" i="23" a="1"/>
  <c r="Q27" i="23" a="1"/>
  <c r="I26" i="23" a="1"/>
  <c r="J27" i="23" a="1"/>
  <c r="Z27" i="23" a="1"/>
  <c r="I27" i="23" a="1"/>
  <c r="Y27" i="23" a="1"/>
  <c r="E29" i="23" a="1"/>
  <c r="D27" i="23" a="1"/>
  <c r="Z26" i="23" a="1"/>
  <c r="L27" i="23" a="1"/>
  <c r="AB26" i="23" a="1"/>
  <c r="T26" i="23" a="1"/>
  <c r="K27" i="23" a="1"/>
  <c r="E31" i="23" a="1"/>
  <c r="N27" i="23" a="1"/>
  <c r="W27" i="23" a="1"/>
  <c r="O26" i="23" a="1"/>
  <c r="G28" i="31" a="1"/>
  <c r="G29" i="31" a="1"/>
  <c r="G31" i="31" a="1"/>
  <c r="G30" i="31" a="1"/>
  <c r="F28" i="31" a="1"/>
  <c r="F29" i="31" a="1"/>
  <c r="F30" i="31" a="1"/>
  <c r="F31" i="31" a="1"/>
  <c r="E30" i="29" a="1"/>
  <c r="T29" i="29" a="1"/>
  <c r="T28" i="29" a="1"/>
  <c r="J31" i="29" a="1"/>
  <c r="G29" i="29" a="1"/>
  <c r="J30" i="29" a="1"/>
  <c r="K30" i="29" a="1"/>
  <c r="G28" i="29" a="1"/>
  <c r="F30" i="29" a="1"/>
  <c r="X31" i="29" a="1"/>
  <c r="D31" i="29" a="1"/>
  <c r="J29" i="29" a="1"/>
  <c r="Q28" i="29" a="1"/>
  <c r="P30" i="29" a="1"/>
  <c r="L31" i="29" a="1"/>
  <c r="R30" i="29" a="1"/>
  <c r="V28" i="29" a="1"/>
  <c r="E31" i="29" a="1"/>
  <c r="L29" i="29" a="1"/>
  <c r="T31" i="29" a="1"/>
  <c r="F31" i="29" a="1"/>
  <c r="Y30" i="29" a="1"/>
  <c r="H31" i="29" a="1"/>
  <c r="N30" i="29" a="1"/>
  <c r="W28" i="29" a="1"/>
  <c r="Q31" i="29" a="1"/>
  <c r="U29" i="29" a="1"/>
  <c r="N29" i="29" a="1"/>
  <c r="N28" i="29" a="1"/>
  <c r="M29" i="29" a="1"/>
  <c r="W29" i="29" a="1"/>
  <c r="S30" i="29" a="1"/>
  <c r="D29" i="29" a="1"/>
  <c r="U28" i="29" a="1"/>
  <c r="I28" i="29" a="1"/>
  <c r="I31" i="29" a="1"/>
  <c r="I29" i="29" a="1"/>
  <c r="H30" i="29" a="1"/>
  <c r="F28" i="29" a="1"/>
  <c r="T30" i="29" a="1"/>
  <c r="K29" i="29" a="1"/>
  <c r="L30" i="29" a="1"/>
  <c r="Q29" i="29" a="1"/>
  <c r="P28" i="29" a="1"/>
  <c r="O30" i="29" a="1"/>
  <c r="W31" i="29" a="1"/>
  <c r="M28" i="29" a="1"/>
  <c r="V29" i="29" a="1"/>
  <c r="R29" i="29" a="1"/>
  <c r="R31" i="29" a="1"/>
  <c r="X30" i="29" a="1"/>
  <c r="R28" i="29" a="1"/>
  <c r="Y31" i="29" a="1"/>
  <c r="N31" i="29" a="1"/>
  <c r="S28" i="29" a="1"/>
  <c r="I30" i="29" a="1"/>
  <c r="G31" i="29" a="1"/>
  <c r="K28" i="29" a="1"/>
  <c r="E29" i="29" a="1"/>
  <c r="Y28" i="29" a="1"/>
  <c r="V30" i="29" a="1"/>
  <c r="Q30" i="29" a="1"/>
  <c r="O29" i="29" a="1"/>
  <c r="D30" i="29" a="1"/>
  <c r="M31" i="29" a="1"/>
  <c r="L28" i="29" a="1"/>
  <c r="U30" i="29" a="1"/>
  <c r="F29" i="29" a="1"/>
  <c r="V31" i="29" a="1"/>
  <c r="H29" i="29" a="1"/>
  <c r="O31" i="29" a="1"/>
  <c r="H28" i="29" a="1"/>
  <c r="S31" i="29" a="1"/>
  <c r="S29" i="29" a="1"/>
  <c r="P29" i="29" a="1"/>
  <c r="X29" i="29" a="1"/>
  <c r="Y29" i="29" a="1"/>
  <c r="M30" i="29" a="1"/>
  <c r="E28" i="29" a="1"/>
  <c r="G30" i="29" a="1"/>
  <c r="X28" i="29" a="1"/>
  <c r="W30" i="29" a="1"/>
  <c r="K31" i="29" a="1"/>
  <c r="J28" i="29" a="1"/>
  <c r="D28" i="29" a="1"/>
  <c r="U31" i="29" a="1"/>
  <c r="P31" i="29" a="1"/>
  <c r="O28" i="29" a="1"/>
  <c r="G30" i="31" l="1"/>
  <c r="G31" i="31"/>
  <c r="G29" i="31"/>
  <c r="G28" i="31"/>
  <c r="F31" i="31"/>
  <c r="F30" i="31"/>
  <c r="F29" i="31"/>
  <c r="F28" i="31"/>
  <c r="G28" i="23"/>
  <c r="G31" i="23"/>
  <c r="G30" i="23"/>
  <c r="G29" i="23"/>
  <c r="F29" i="23"/>
  <c r="F31" i="23"/>
  <c r="F28" i="23"/>
  <c r="F30" i="23"/>
  <c r="E31" i="23"/>
  <c r="E30" i="23"/>
  <c r="E29" i="23"/>
  <c r="E28" i="23"/>
  <c r="E31" i="31"/>
  <c r="E30" i="31"/>
  <c r="E29" i="31"/>
  <c r="E28" i="31"/>
  <c r="D31" i="31"/>
  <c r="D30" i="31"/>
  <c r="D29" i="31"/>
  <c r="D28" i="31"/>
  <c r="U29" i="30"/>
  <c r="U30" i="30"/>
  <c r="U31" i="30"/>
  <c r="U28" i="30"/>
  <c r="M29" i="30"/>
  <c r="M30" i="30"/>
  <c r="M31" i="30"/>
  <c r="M28" i="30"/>
  <c r="E29" i="30"/>
  <c r="E28" i="30"/>
  <c r="E30" i="30"/>
  <c r="E31" i="30"/>
  <c r="X28" i="30"/>
  <c r="X31" i="30"/>
  <c r="X29" i="30"/>
  <c r="X30" i="30"/>
  <c r="V29" i="30"/>
  <c r="V28" i="30"/>
  <c r="V30" i="30"/>
  <c r="V31" i="30"/>
  <c r="J28" i="30"/>
  <c r="J29" i="30"/>
  <c r="J30" i="30"/>
  <c r="J31" i="30"/>
  <c r="O29" i="30"/>
  <c r="O30" i="30"/>
  <c r="O31" i="30"/>
  <c r="O28" i="30"/>
  <c r="G30" i="30"/>
  <c r="G28" i="30"/>
  <c r="G31" i="30"/>
  <c r="G29" i="30"/>
  <c r="Y29" i="30"/>
  <c r="Y31" i="30"/>
  <c r="Y28" i="30"/>
  <c r="Y30" i="30"/>
  <c r="P28" i="30"/>
  <c r="P30" i="30"/>
  <c r="P31" i="30"/>
  <c r="P29" i="30"/>
  <c r="T29" i="30"/>
  <c r="T28" i="30"/>
  <c r="T31" i="30"/>
  <c r="T30" i="30"/>
  <c r="K28" i="30"/>
  <c r="K30" i="30"/>
  <c r="K29" i="30"/>
  <c r="K31" i="30"/>
  <c r="Q31" i="30"/>
  <c r="Q30" i="30"/>
  <c r="Q28" i="30"/>
  <c r="Q29" i="30"/>
  <c r="I31" i="30"/>
  <c r="I30" i="30"/>
  <c r="I29" i="30"/>
  <c r="I28" i="30"/>
  <c r="S28" i="30"/>
  <c r="S30" i="30"/>
  <c r="S31" i="30"/>
  <c r="S29" i="30"/>
  <c r="L31" i="30"/>
  <c r="L29" i="30"/>
  <c r="L30" i="30"/>
  <c r="L28" i="30"/>
  <c r="D31" i="30"/>
  <c r="D29" i="30"/>
  <c r="D30" i="30"/>
  <c r="D28" i="30"/>
  <c r="R28" i="30"/>
  <c r="R30" i="30"/>
  <c r="R29" i="30"/>
  <c r="R31" i="30"/>
  <c r="N28" i="30"/>
  <c r="N30" i="30"/>
  <c r="N29" i="30"/>
  <c r="N31" i="30"/>
  <c r="F28" i="30"/>
  <c r="F30" i="30"/>
  <c r="F31" i="30"/>
  <c r="F29" i="30"/>
  <c r="H31" i="30"/>
  <c r="H30" i="30"/>
  <c r="H28" i="30"/>
  <c r="H29" i="30"/>
  <c r="W30" i="30"/>
  <c r="W28" i="30"/>
  <c r="W31" i="30"/>
  <c r="W29" i="30"/>
  <c r="O30" i="29"/>
  <c r="O31" i="29"/>
  <c r="O28" i="29"/>
  <c r="O29" i="29"/>
  <c r="T29" i="29"/>
  <c r="T30" i="29"/>
  <c r="T31" i="29"/>
  <c r="T28" i="29"/>
  <c r="L29" i="29"/>
  <c r="L30" i="29"/>
  <c r="L31" i="29"/>
  <c r="L28" i="29"/>
  <c r="D29" i="29"/>
  <c r="D30" i="29"/>
  <c r="D31" i="29"/>
  <c r="D28" i="29"/>
  <c r="W30" i="29"/>
  <c r="W31" i="29"/>
  <c r="W28" i="29"/>
  <c r="W29" i="29"/>
  <c r="Y31" i="29"/>
  <c r="Y28" i="29"/>
  <c r="Y29" i="29"/>
  <c r="Y30" i="29"/>
  <c r="Q31" i="29"/>
  <c r="Q28" i="29"/>
  <c r="Q29" i="29"/>
  <c r="Q30" i="29"/>
  <c r="I31" i="29"/>
  <c r="I28" i="29"/>
  <c r="I29" i="29"/>
  <c r="I30" i="29"/>
  <c r="V30" i="29"/>
  <c r="V31" i="29"/>
  <c r="V28" i="29"/>
  <c r="V29" i="29"/>
  <c r="S28" i="29"/>
  <c r="S29" i="29"/>
  <c r="S30" i="29"/>
  <c r="S31" i="29"/>
  <c r="K28" i="29"/>
  <c r="K29" i="29"/>
  <c r="K30" i="29"/>
  <c r="K31" i="29"/>
  <c r="F30" i="29"/>
  <c r="F31" i="29"/>
  <c r="F28" i="29"/>
  <c r="F29" i="29"/>
  <c r="G30" i="29"/>
  <c r="G31" i="29"/>
  <c r="G28" i="29"/>
  <c r="G29" i="29"/>
  <c r="X31" i="29"/>
  <c r="X28" i="29"/>
  <c r="X29" i="29"/>
  <c r="X30" i="29"/>
  <c r="P31" i="29"/>
  <c r="P28" i="29"/>
  <c r="P29" i="29"/>
  <c r="P30" i="29"/>
  <c r="R28" i="29"/>
  <c r="R29" i="29"/>
  <c r="R30" i="29"/>
  <c r="R31" i="29"/>
  <c r="H31" i="29"/>
  <c r="H28" i="29"/>
  <c r="H29" i="29"/>
  <c r="H30" i="29"/>
  <c r="U29" i="29"/>
  <c r="U30" i="29"/>
  <c r="U31" i="29"/>
  <c r="U28" i="29"/>
  <c r="J28" i="29"/>
  <c r="J29" i="29"/>
  <c r="J30" i="29"/>
  <c r="J31" i="29"/>
  <c r="M29" i="29"/>
  <c r="M30" i="29"/>
  <c r="M31" i="29"/>
  <c r="M28" i="29"/>
  <c r="E29" i="29"/>
  <c r="E30" i="29"/>
  <c r="E31" i="29"/>
  <c r="E28" i="29"/>
  <c r="N30" i="29"/>
  <c r="N31" i="29"/>
  <c r="N28" i="29"/>
  <c r="N29" i="29"/>
  <c r="M30" i="27"/>
  <c r="M31" i="27"/>
  <c r="M29" i="27"/>
  <c r="M28" i="27"/>
  <c r="O31" i="27"/>
  <c r="O30" i="27"/>
  <c r="O29" i="27"/>
  <c r="O28" i="27"/>
  <c r="S30" i="27"/>
  <c r="S28" i="27"/>
  <c r="S31" i="27"/>
  <c r="S29" i="27"/>
  <c r="G28" i="27"/>
  <c r="G30" i="27"/>
  <c r="G29" i="27"/>
  <c r="G31" i="27"/>
  <c r="U30" i="27"/>
  <c r="U29" i="27"/>
  <c r="U31" i="27"/>
  <c r="U28" i="27"/>
  <c r="N31" i="27"/>
  <c r="N29" i="27"/>
  <c r="N30" i="27"/>
  <c r="N28" i="27"/>
  <c r="K28" i="27"/>
  <c r="K29" i="27"/>
  <c r="K31" i="27"/>
  <c r="K30" i="27"/>
  <c r="J29" i="27"/>
  <c r="J30" i="27"/>
  <c r="J31" i="27"/>
  <c r="J28" i="27"/>
  <c r="T28" i="27"/>
  <c r="T30" i="27"/>
  <c r="T29" i="27"/>
  <c r="T31" i="27"/>
  <c r="F31" i="27"/>
  <c r="F29" i="27"/>
  <c r="F28" i="27"/>
  <c r="F30" i="27"/>
  <c r="R29" i="27"/>
  <c r="R28" i="27"/>
  <c r="R31" i="27"/>
  <c r="R30" i="27"/>
  <c r="I28" i="27"/>
  <c r="I29" i="27"/>
  <c r="I31" i="27"/>
  <c r="I30" i="27"/>
  <c r="V29" i="27"/>
  <c r="V28" i="27"/>
  <c r="V31" i="27"/>
  <c r="V30" i="27"/>
  <c r="L28" i="27"/>
  <c r="L31" i="27"/>
  <c r="L30" i="27"/>
  <c r="L29" i="27"/>
  <c r="P30" i="27"/>
  <c r="P28" i="27"/>
  <c r="P29" i="27"/>
  <c r="P31" i="27"/>
  <c r="Q28" i="27"/>
  <c r="Q30" i="27"/>
  <c r="Q29" i="27"/>
  <c r="Q31" i="27"/>
  <c r="E29" i="27"/>
  <c r="E31" i="27"/>
  <c r="E28" i="27"/>
  <c r="E30" i="27"/>
  <c r="H30" i="27"/>
  <c r="H31" i="27"/>
  <c r="H28" i="27"/>
  <c r="H29" i="27"/>
  <c r="D31" i="27"/>
  <c r="D30" i="27"/>
  <c r="D29" i="27"/>
  <c r="D28" i="27"/>
  <c r="K28" i="28"/>
  <c r="K30" i="28"/>
  <c r="K31" i="28"/>
  <c r="K29" i="28"/>
  <c r="S31" i="28"/>
  <c r="S28" i="28"/>
  <c r="S30" i="28"/>
  <c r="S29" i="28"/>
  <c r="O29" i="28"/>
  <c r="O30" i="28"/>
  <c r="O28" i="28"/>
  <c r="O31" i="28"/>
  <c r="N29" i="28"/>
  <c r="N28" i="28"/>
  <c r="N31" i="28"/>
  <c r="N30" i="28"/>
  <c r="Q31" i="28"/>
  <c r="Q29" i="28"/>
  <c r="Q30" i="28"/>
  <c r="Q28" i="28"/>
  <c r="F31" i="28"/>
  <c r="F30" i="28"/>
  <c r="F29" i="28"/>
  <c r="F28" i="28"/>
  <c r="U31" i="28"/>
  <c r="U30" i="28"/>
  <c r="U29" i="28"/>
  <c r="U28" i="28"/>
  <c r="G30" i="28"/>
  <c r="G28" i="28"/>
  <c r="G29" i="28"/>
  <c r="G31" i="28"/>
  <c r="J28" i="28"/>
  <c r="J29" i="28"/>
  <c r="J31" i="28"/>
  <c r="J30" i="28"/>
  <c r="P30" i="28"/>
  <c r="P29" i="28"/>
  <c r="P28" i="28"/>
  <c r="P31" i="28"/>
  <c r="R29" i="28"/>
  <c r="R31" i="28"/>
  <c r="R30" i="28"/>
  <c r="R28" i="28"/>
  <c r="I29" i="28"/>
  <c r="I28" i="28"/>
  <c r="I30" i="28"/>
  <c r="I31" i="28"/>
  <c r="M31" i="28"/>
  <c r="M30" i="28"/>
  <c r="M28" i="28"/>
  <c r="M29" i="28"/>
  <c r="T28" i="28"/>
  <c r="T31" i="28"/>
  <c r="T29" i="28"/>
  <c r="T30" i="28"/>
  <c r="L28" i="28"/>
  <c r="L30" i="28"/>
  <c r="L29" i="28"/>
  <c r="L31" i="28"/>
  <c r="V31" i="28"/>
  <c r="V30" i="28"/>
  <c r="V29" i="28"/>
  <c r="V28" i="28"/>
  <c r="E28" i="28"/>
  <c r="E29" i="28"/>
  <c r="E31" i="28"/>
  <c r="E30" i="28"/>
  <c r="H30" i="28"/>
  <c r="H28" i="28"/>
  <c r="H29" i="28"/>
  <c r="H31" i="28"/>
  <c r="D31" i="28"/>
  <c r="D30" i="28"/>
  <c r="D29" i="28"/>
  <c r="D28" i="28"/>
  <c r="P26" i="5"/>
  <c r="Q26" i="5"/>
  <c r="L27" i="5"/>
  <c r="M27" i="5"/>
  <c r="N27" i="5"/>
  <c r="O27" i="5"/>
  <c r="X26" i="5"/>
  <c r="Y26" i="5"/>
  <c r="J26" i="5"/>
  <c r="U27" i="5"/>
  <c r="D26" i="5"/>
  <c r="F27" i="5"/>
  <c r="E26" i="5"/>
  <c r="M26" i="5"/>
  <c r="G27" i="5"/>
  <c r="F26" i="5"/>
  <c r="V26" i="5"/>
  <c r="X27" i="5"/>
  <c r="H26" i="5"/>
  <c r="S27" i="5"/>
  <c r="R26" i="5"/>
  <c r="S26" i="5"/>
  <c r="V27" i="5"/>
  <c r="U26" i="5"/>
  <c r="W27" i="5"/>
  <c r="N26" i="5"/>
  <c r="H27" i="5"/>
  <c r="P27" i="5"/>
  <c r="J27" i="5"/>
  <c r="I26" i="5"/>
  <c r="T27" i="5"/>
  <c r="E27" i="5"/>
  <c r="T26" i="5"/>
  <c r="G26" i="5"/>
  <c r="W26" i="5"/>
  <c r="Y27" i="5"/>
  <c r="R27" i="5"/>
  <c r="K27" i="5"/>
  <c r="D27" i="5"/>
  <c r="K26" i="5"/>
  <c r="L26" i="5"/>
  <c r="O26" i="5"/>
  <c r="I27" i="5"/>
  <c r="Q27" i="5"/>
  <c r="Z26" i="23"/>
  <c r="V27" i="23"/>
  <c r="AB26" i="23"/>
  <c r="H27" i="23"/>
  <c r="Q27" i="23"/>
  <c r="W26" i="23"/>
  <c r="R27" i="23"/>
  <c r="M27" i="23"/>
  <c r="S26" i="23"/>
  <c r="T26" i="23"/>
  <c r="P27" i="23"/>
  <c r="N26" i="23"/>
  <c r="Y27" i="23"/>
  <c r="O26" i="23"/>
  <c r="J27" i="23"/>
  <c r="Z27" i="23"/>
  <c r="U27" i="23"/>
  <c r="N27" i="23"/>
  <c r="W27" i="23"/>
  <c r="U26" i="23"/>
  <c r="I27" i="23"/>
  <c r="P26" i="23"/>
  <c r="X26" i="23"/>
  <c r="K27" i="23"/>
  <c r="S27" i="23"/>
  <c r="AA27" i="23"/>
  <c r="J26" i="23"/>
  <c r="K26" i="23"/>
  <c r="L26" i="23"/>
  <c r="M26" i="23"/>
  <c r="Y26" i="23"/>
  <c r="AB27" i="23"/>
  <c r="R26" i="23"/>
  <c r="AA26" i="23"/>
  <c r="O27" i="23"/>
  <c r="X27" i="23"/>
  <c r="V26" i="23"/>
  <c r="H26" i="23"/>
  <c r="I26" i="23"/>
  <c r="Q26" i="23"/>
  <c r="L27" i="23"/>
  <c r="T27" i="23"/>
  <c r="D26" i="23"/>
  <c r="D27" i="23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M7" i="23"/>
  <c r="V7" i="28"/>
  <c r="U7" i="28"/>
  <c r="T7" i="28"/>
  <c r="S7" i="28"/>
  <c r="R7" i="28"/>
  <c r="Q7" i="28"/>
  <c r="P7" i="28"/>
  <c r="O7" i="28"/>
  <c r="N7" i="28"/>
  <c r="M7" i="28"/>
  <c r="L7" i="28"/>
  <c r="K7" i="28"/>
  <c r="J7" i="28"/>
  <c r="I7" i="28"/>
  <c r="H7" i="28"/>
  <c r="G7" i="28"/>
  <c r="F7" i="28"/>
  <c r="E7" i="28"/>
  <c r="V7" i="27"/>
  <c r="U7" i="27"/>
  <c r="T7" i="27"/>
  <c r="S7" i="27"/>
  <c r="R7" i="27"/>
  <c r="Q7" i="27"/>
  <c r="P7" i="27"/>
  <c r="O7" i="27"/>
  <c r="N7" i="27"/>
  <c r="M7" i="27"/>
  <c r="L7" i="27"/>
  <c r="K7" i="27"/>
  <c r="J7" i="27"/>
  <c r="I7" i="27"/>
  <c r="H7" i="27"/>
  <c r="G7" i="27"/>
  <c r="F7" i="27"/>
  <c r="E7" i="27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L7" i="23"/>
  <c r="K7" i="23"/>
  <c r="J7" i="23"/>
  <c r="I7" i="23"/>
  <c r="H7" i="23"/>
  <c r="L29" i="5" a="1"/>
  <c r="I30" i="5" a="1"/>
  <c r="M29" i="5" a="1"/>
  <c r="V30" i="5" a="1"/>
  <c r="G28" i="5" a="1"/>
  <c r="S28" i="5" a="1"/>
  <c r="V31" i="5" a="1"/>
  <c r="U28" i="5" a="1"/>
  <c r="Q31" i="5" a="1"/>
  <c r="I31" i="5" a="1"/>
  <c r="M30" i="5" a="1"/>
  <c r="X29" i="5" a="1"/>
  <c r="U29" i="5" a="1"/>
  <c r="Y29" i="5" a="1"/>
  <c r="V29" i="5" a="1"/>
  <c r="W31" i="5" a="1"/>
  <c r="P30" i="5" a="1"/>
  <c r="S31" i="5" a="1"/>
  <c r="G30" i="5" a="1"/>
  <c r="M28" i="5" a="1"/>
  <c r="W29" i="5" a="1"/>
  <c r="W30" i="5" a="1"/>
  <c r="E29" i="5" a="1"/>
  <c r="D30" i="5" a="1"/>
  <c r="N29" i="5" a="1"/>
  <c r="X30" i="5" a="1"/>
  <c r="E31" i="5" a="1"/>
  <c r="I29" i="5" a="1"/>
  <c r="Q30" i="5" a="1"/>
  <c r="D28" i="5" a="1"/>
  <c r="L30" i="5" a="1"/>
  <c r="N31" i="5" a="1"/>
  <c r="H30" i="5" a="1"/>
  <c r="R29" i="5" a="1"/>
  <c r="H31" i="5" a="1"/>
  <c r="K31" i="5" a="1"/>
  <c r="J29" i="5" a="1"/>
  <c r="U31" i="5" a="1"/>
  <c r="G31" i="5" a="1"/>
  <c r="R30" i="5" a="1"/>
  <c r="R31" i="5" a="1"/>
  <c r="H29" i="5" a="1"/>
  <c r="H28" i="5" a="1"/>
  <c r="E30" i="5" a="1"/>
  <c r="S30" i="5" a="1"/>
  <c r="S29" i="5" a="1"/>
  <c r="K29" i="5" a="1"/>
  <c r="O31" i="5" a="1"/>
  <c r="F28" i="5" a="1"/>
  <c r="P31" i="5" a="1"/>
  <c r="I28" i="5" a="1"/>
  <c r="Q28" i="5" a="1"/>
  <c r="T30" i="5" a="1"/>
  <c r="J28" i="5" a="1"/>
  <c r="F29" i="5" a="1"/>
  <c r="N30" i="5" a="1"/>
  <c r="X28" i="5" a="1"/>
  <c r="D29" i="5" a="1"/>
  <c r="N28" i="5" a="1"/>
  <c r="T28" i="5" a="1"/>
  <c r="D31" i="5" a="1"/>
  <c r="R28" i="5" a="1"/>
  <c r="J30" i="5" a="1"/>
  <c r="M31" i="5" a="1"/>
  <c r="F31" i="5" a="1"/>
  <c r="U30" i="5" a="1"/>
  <c r="P29" i="5" a="1"/>
  <c r="F30" i="5" a="1"/>
  <c r="Y28" i="5" a="1"/>
  <c r="V28" i="5" a="1"/>
  <c r="O30" i="5" a="1"/>
  <c r="L28" i="5" a="1"/>
  <c r="K30" i="5" a="1"/>
  <c r="X31" i="5" a="1"/>
  <c r="T29" i="5" a="1"/>
  <c r="O29" i="5" a="1"/>
  <c r="W28" i="5" a="1"/>
  <c r="Q29" i="5" a="1"/>
  <c r="Y30" i="5" a="1"/>
  <c r="T31" i="5" a="1"/>
  <c r="P28" i="5" a="1"/>
  <c r="Y31" i="5" a="1"/>
  <c r="E28" i="5" a="1"/>
  <c r="K28" i="5" a="1"/>
  <c r="O28" i="5" a="1"/>
  <c r="G29" i="5" a="1"/>
  <c r="J31" i="5" a="1"/>
  <c r="L31" i="5" a="1"/>
  <c r="X30" i="23" a="1"/>
  <c r="H30" i="23" a="1"/>
  <c r="X28" i="23" a="1"/>
  <c r="V28" i="23" a="1"/>
  <c r="D30" i="23" a="1"/>
  <c r="O30" i="23" a="1"/>
  <c r="W30" i="23" a="1"/>
  <c r="U31" i="23" a="1"/>
  <c r="R31" i="23" a="1"/>
  <c r="U30" i="23" a="1"/>
  <c r="P29" i="23" a="1"/>
  <c r="D31" i="23" a="1"/>
  <c r="I30" i="23" a="1"/>
  <c r="AB28" i="23" a="1"/>
  <c r="T29" i="23" a="1"/>
  <c r="N31" i="23" a="1"/>
  <c r="AB31" i="23" a="1"/>
  <c r="M28" i="23" a="1"/>
  <c r="Q28" i="23" a="1"/>
  <c r="O29" i="23" a="1"/>
  <c r="S30" i="23" a="1"/>
  <c r="J31" i="23" a="1"/>
  <c r="Q31" i="23" a="1"/>
  <c r="Y30" i="23" a="1"/>
  <c r="Y31" i="23" a="1"/>
  <c r="D29" i="23" a="1"/>
  <c r="N30" i="23" a="1"/>
  <c r="R29" i="23" a="1"/>
  <c r="Z28" i="23" a="1"/>
  <c r="N28" i="23" a="1"/>
  <c r="P30" i="23" a="1"/>
  <c r="Z31" i="23" a="1"/>
  <c r="V29" i="23" a="1"/>
  <c r="R28" i="23" a="1"/>
  <c r="H28" i="23" a="1"/>
  <c r="L28" i="23" a="1"/>
  <c r="S31" i="23" a="1"/>
  <c r="AA28" i="23" a="1"/>
  <c r="K31" i="23" a="1"/>
  <c r="H31" i="23" a="1"/>
  <c r="O28" i="23" a="1"/>
  <c r="Z30" i="23" a="1"/>
  <c r="N29" i="23" a="1"/>
  <c r="Z29" i="23" a="1"/>
  <c r="Y28" i="23" a="1"/>
  <c r="W28" i="23" a="1"/>
  <c r="P28" i="23" a="1"/>
  <c r="L29" i="23" a="1"/>
  <c r="J29" i="23" a="1"/>
  <c r="Q30" i="23" a="1"/>
  <c r="V30" i="23" a="1"/>
  <c r="AA31" i="23" a="1"/>
  <c r="AB30" i="23" a="1"/>
  <c r="J28" i="23" a="1"/>
  <c r="M30" i="23" a="1"/>
  <c r="AB29" i="23" a="1"/>
  <c r="Q29" i="23" a="1"/>
  <c r="H29" i="23" a="1"/>
  <c r="O31" i="23" a="1"/>
  <c r="Y29" i="23" a="1"/>
  <c r="K28" i="23" a="1"/>
  <c r="K30" i="23" a="1"/>
  <c r="W31" i="23" a="1"/>
  <c r="V31" i="23" a="1"/>
  <c r="M31" i="23" a="1"/>
  <c r="T31" i="23" a="1"/>
  <c r="D28" i="23" a="1"/>
  <c r="X31" i="23" a="1"/>
  <c r="S28" i="23" a="1"/>
  <c r="I29" i="23" a="1"/>
  <c r="U28" i="23" a="1"/>
  <c r="S29" i="23" a="1"/>
  <c r="M29" i="23" a="1"/>
  <c r="R30" i="23" a="1"/>
  <c r="AA30" i="23" a="1"/>
  <c r="P31" i="23" a="1"/>
  <c r="I31" i="23" a="1"/>
  <c r="I28" i="23" a="1"/>
  <c r="T30" i="23" a="1"/>
  <c r="L31" i="23" a="1"/>
  <c r="L30" i="23" a="1"/>
  <c r="U29" i="23" a="1"/>
  <c r="T28" i="23" a="1"/>
  <c r="AA29" i="23" a="1"/>
  <c r="J30" i="23" a="1"/>
  <c r="W29" i="23" a="1"/>
  <c r="K29" i="23" a="1"/>
  <c r="X29" i="23" a="1"/>
  <c r="L29" i="5" l="1"/>
  <c r="L30" i="5"/>
  <c r="L28" i="5"/>
  <c r="L31" i="5"/>
  <c r="Q31" i="5"/>
  <c r="Q28" i="5"/>
  <c r="Q29" i="5"/>
  <c r="Q30" i="5"/>
  <c r="H30" i="5"/>
  <c r="H31" i="5"/>
  <c r="H29" i="5"/>
  <c r="H28" i="5"/>
  <c r="K29" i="5"/>
  <c r="K30" i="5"/>
  <c r="K31" i="5"/>
  <c r="K28" i="5"/>
  <c r="N30" i="5"/>
  <c r="N31" i="5"/>
  <c r="N28" i="5"/>
  <c r="N29" i="5"/>
  <c r="Y29" i="5"/>
  <c r="Y30" i="5"/>
  <c r="Y28" i="5"/>
  <c r="Y31" i="5"/>
  <c r="I28" i="5"/>
  <c r="I31" i="5"/>
  <c r="I29" i="5"/>
  <c r="I30" i="5"/>
  <c r="W31" i="5"/>
  <c r="W30" i="5"/>
  <c r="W28" i="5"/>
  <c r="W29" i="5"/>
  <c r="X28" i="5"/>
  <c r="X30" i="5"/>
  <c r="X29" i="5"/>
  <c r="X31" i="5"/>
  <c r="J31" i="5"/>
  <c r="J28" i="5"/>
  <c r="J30" i="5"/>
  <c r="J29" i="5"/>
  <c r="P30" i="5"/>
  <c r="P28" i="5"/>
  <c r="P31" i="5"/>
  <c r="P29" i="5"/>
  <c r="T31" i="5"/>
  <c r="T28" i="5"/>
  <c r="T29" i="5"/>
  <c r="T30" i="5"/>
  <c r="R28" i="5"/>
  <c r="R30" i="5"/>
  <c r="R31" i="5"/>
  <c r="R29" i="5"/>
  <c r="F30" i="5"/>
  <c r="F28" i="5"/>
  <c r="F31" i="5"/>
  <c r="F29" i="5"/>
  <c r="V29" i="5"/>
  <c r="V31" i="5"/>
  <c r="V28" i="5"/>
  <c r="V30" i="5"/>
  <c r="E29" i="5"/>
  <c r="E31" i="5"/>
  <c r="E28" i="5"/>
  <c r="E30" i="5"/>
  <c r="O29" i="5"/>
  <c r="O30" i="5"/>
  <c r="O31" i="5"/>
  <c r="O28" i="5"/>
  <c r="M29" i="5"/>
  <c r="M28" i="5"/>
  <c r="M31" i="5"/>
  <c r="M30" i="5"/>
  <c r="G28" i="5"/>
  <c r="G31" i="5"/>
  <c r="G30" i="5"/>
  <c r="G29" i="5"/>
  <c r="U31" i="5"/>
  <c r="U29" i="5"/>
  <c r="U28" i="5"/>
  <c r="U30" i="5"/>
  <c r="S31" i="5"/>
  <c r="S29" i="5"/>
  <c r="S30" i="5"/>
  <c r="S28" i="5"/>
  <c r="N31" i="23"/>
  <c r="N29" i="23"/>
  <c r="N30" i="23"/>
  <c r="N28" i="23"/>
  <c r="S30" i="23"/>
  <c r="S29" i="23"/>
  <c r="S28" i="23"/>
  <c r="S31" i="23"/>
  <c r="K29" i="23"/>
  <c r="K28" i="23"/>
  <c r="K30" i="23"/>
  <c r="K31" i="23"/>
  <c r="R28" i="23"/>
  <c r="R31" i="23"/>
  <c r="R29" i="23"/>
  <c r="R30" i="23"/>
  <c r="Q30" i="23"/>
  <c r="Q31" i="23"/>
  <c r="Q28" i="23"/>
  <c r="Q29" i="23"/>
  <c r="X31" i="23"/>
  <c r="X28" i="23"/>
  <c r="X29" i="23"/>
  <c r="X30" i="23"/>
  <c r="AA28" i="23"/>
  <c r="AA29" i="23"/>
  <c r="AA31" i="23"/>
  <c r="AA30" i="23"/>
  <c r="Y31" i="23"/>
  <c r="Y28" i="23"/>
  <c r="Y29" i="23"/>
  <c r="Y30" i="23"/>
  <c r="L28" i="23"/>
  <c r="L31" i="23"/>
  <c r="L29" i="23"/>
  <c r="L30" i="23"/>
  <c r="O28" i="23"/>
  <c r="O29" i="23"/>
  <c r="O31" i="23"/>
  <c r="O30" i="23"/>
  <c r="Z29" i="23"/>
  <c r="Z28" i="23"/>
  <c r="Z30" i="23"/>
  <c r="Z31" i="23"/>
  <c r="P31" i="23"/>
  <c r="P29" i="23"/>
  <c r="P28" i="23"/>
  <c r="P30" i="23"/>
  <c r="W31" i="23"/>
  <c r="W29" i="23"/>
  <c r="W30" i="23"/>
  <c r="W28" i="23"/>
  <c r="J29" i="23"/>
  <c r="J30" i="23"/>
  <c r="J28" i="23"/>
  <c r="J31" i="23"/>
  <c r="M28" i="23"/>
  <c r="M30" i="23"/>
  <c r="M31" i="23"/>
  <c r="M29" i="23"/>
  <c r="I28" i="23"/>
  <c r="I30" i="23"/>
  <c r="I29" i="23"/>
  <c r="I31" i="23"/>
  <c r="T29" i="23"/>
  <c r="T30" i="23"/>
  <c r="T31" i="23"/>
  <c r="T28" i="23"/>
  <c r="U30" i="23"/>
  <c r="U31" i="23"/>
  <c r="U28" i="23"/>
  <c r="U29" i="23"/>
  <c r="H28" i="23"/>
  <c r="H30" i="23"/>
  <c r="H29" i="23"/>
  <c r="H31" i="23"/>
  <c r="AB30" i="23"/>
  <c r="AB28" i="23"/>
  <c r="AB29" i="23"/>
  <c r="AB31" i="23"/>
  <c r="V29" i="23"/>
  <c r="V28" i="23"/>
  <c r="V31" i="23"/>
  <c r="V30" i="23"/>
  <c r="D29" i="23"/>
  <c r="D30" i="23"/>
  <c r="D31" i="23"/>
  <c r="D28" i="23"/>
  <c r="D29" i="5"/>
  <c r="D28" i="5"/>
  <c r="D31" i="5"/>
  <c r="D3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<sst xmlns="http://schemas.openxmlformats.org/spreadsheetml/2006/main" count="1164" uniqueCount="240">
  <si>
    <t>Test case description</t>
  </si>
  <si>
    <t>Bandwidth (MHz)</t>
  </si>
  <si>
    <t>Numerology index (μ)</t>
  </si>
  <si>
    <t>RF chains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</si>
  <si>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</si>
  <si>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</si>
  <si>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</si>
  <si>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</si>
  <si>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</si>
  <si>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</si>
  <si>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Modulation order (Qm)</t>
  </si>
  <si>
    <t>Target code rate (R x 1024)</t>
  </si>
  <si>
    <t>Cells</t>
  </si>
  <si>
    <t>Total users</t>
  </si>
  <si>
    <t>Layers per user</t>
  </si>
  <si>
    <t>DL/UL Duplexing</t>
  </si>
  <si>
    <t>TDD pattern</t>
  </si>
  <si>
    <t>N/A</t>
  </si>
  <si>
    <t>Special slot</t>
  </si>
  <si>
    <t>DCI format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</si>
  <si>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</si>
  <si>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</si>
  <si>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</si>
  <si>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</si>
  <si>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</si>
  <si>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</si>
  <si>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</si>
  <si>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Lifting size per user (Z)</t>
  </si>
  <si>
    <t>Transport block size per user</t>
  </si>
  <si>
    <t>Codeblocks per user (C)</t>
  </si>
  <si>
    <t>Parity check nodes</t>
  </si>
  <si>
    <t>PUSCH symbols per slot</t>
  </si>
  <si>
    <t>PUSCH DMRS symbols per slot</t>
  </si>
  <si>
    <t>DL/UL duplexing</t>
  </si>
  <si>
    <t>TDD</t>
  </si>
  <si>
    <t>additional symbol</t>
  </si>
  <si>
    <t>F14-US-01</t>
  </si>
  <si>
    <t>F14-US-30</t>
  </si>
  <si>
    <t>F14-US-31</t>
  </si>
  <si>
    <t>F14-US-32</t>
  </si>
  <si>
    <t>F14-US-33</t>
  </si>
  <si>
    <t>F14-US-34</t>
  </si>
  <si>
    <t>F14-US-35</t>
  </si>
  <si>
    <t>F14-US-36</t>
  </si>
  <si>
    <t>F14-US-37</t>
  </si>
  <si>
    <t>F14-US-38</t>
  </si>
  <si>
    <t>F14-US-39</t>
  </si>
  <si>
    <t>F14-US-40</t>
  </si>
  <si>
    <t>F14-US-41</t>
  </si>
  <si>
    <t>F14-US-42</t>
  </si>
  <si>
    <t>F14-US-43</t>
  </si>
  <si>
    <t>F14-US-44</t>
  </si>
  <si>
    <t>F14-US-45</t>
  </si>
  <si>
    <t>F14-US-46</t>
  </si>
  <si>
    <t>F14-US-47</t>
  </si>
  <si>
    <t>F14-DS-01</t>
  </si>
  <si>
    <t>F14-DS-30</t>
  </si>
  <si>
    <t>F14-DS-31</t>
  </si>
  <si>
    <t>F14-DS-32</t>
  </si>
  <si>
    <t>F14-DS-33</t>
  </si>
  <si>
    <t>F14-DS-34</t>
  </si>
  <si>
    <t>F14-DS-35</t>
  </si>
  <si>
    <t>F14-DS-36</t>
  </si>
  <si>
    <t>F14-DS-37</t>
  </si>
  <si>
    <t>F14-DS-38</t>
  </si>
  <si>
    <t>F14-DS-39</t>
  </si>
  <si>
    <t>F14-DS-40</t>
  </si>
  <si>
    <t>F14-DS-41</t>
  </si>
  <si>
    <t>F14-DS-42</t>
  </si>
  <si>
    <t>F14-DS-43</t>
  </si>
  <si>
    <t>F14-DS-44</t>
  </si>
  <si>
    <t>F14-DS-45</t>
  </si>
  <si>
    <t>F14-DS-46</t>
  </si>
  <si>
    <t>F14-DS-47</t>
  </si>
  <si>
    <t>F01-DS-01</t>
  </si>
  <si>
    <t>F01-DS-30</t>
  </si>
  <si>
    <t>F01-DS-31</t>
  </si>
  <si>
    <t>F01-DS-32</t>
  </si>
  <si>
    <t>F01-DS-33</t>
  </si>
  <si>
    <t>F01-DS-34</t>
  </si>
  <si>
    <t>F01-DS-35</t>
  </si>
  <si>
    <t>F01-DS-36</t>
  </si>
  <si>
    <t>F01-DS-37</t>
  </si>
  <si>
    <t>F01-DS-38</t>
  </si>
  <si>
    <t>F01-DS-39</t>
  </si>
  <si>
    <t>F01-DS-40</t>
  </si>
  <si>
    <t>F01-DS-41</t>
  </si>
  <si>
    <t>F01-US-01</t>
  </si>
  <si>
    <t>F01-US-30</t>
  </si>
  <si>
    <t>F01-US-31</t>
  </si>
  <si>
    <t>F01-US-32</t>
  </si>
  <si>
    <t>F01-US-33</t>
  </si>
  <si>
    <t>F01-US-34</t>
  </si>
  <si>
    <t>F01-US-35</t>
  </si>
  <si>
    <t>F01-US-36</t>
  </si>
  <si>
    <t>F01-US-37</t>
  </si>
  <si>
    <t>F01-US-38</t>
  </si>
  <si>
    <t>F01-US-39</t>
  </si>
  <si>
    <t>F01-US-40</t>
  </si>
  <si>
    <t>F01-US-41</t>
  </si>
  <si>
    <t xml:space="preserve"> </t>
  </si>
  <si>
    <t>FDD</t>
  </si>
  <si>
    <t>Number of total average cells</t>
  </si>
  <si>
    <t>Avg. Percentage</t>
  </si>
  <si>
    <t>Avg. Component Percentage</t>
  </si>
  <si>
    <t>F14-DS-48</t>
  </si>
  <si>
    <t>F14-DS-49</t>
  </si>
  <si>
    <t>F14-DS-50</t>
  </si>
  <si>
    <t>F14-US-48</t>
  </si>
  <si>
    <t>F14-US-49</t>
  </si>
  <si>
    <t>F14-US-50</t>
  </si>
  <si>
    <t>F01-DS-42</t>
  </si>
  <si>
    <t>F01-DS-43</t>
  </si>
  <si>
    <t>F01-DS-44</t>
  </si>
  <si>
    <t>F01-DS-45</t>
  </si>
  <si>
    <t>F01-DS-46</t>
  </si>
  <si>
    <t>F01-DS-47</t>
  </si>
  <si>
    <t>F01-US-42</t>
  </si>
  <si>
    <t>F01-US-43</t>
  </si>
  <si>
    <t>F01-US-44</t>
  </si>
  <si>
    <t>F01-US-45</t>
  </si>
  <si>
    <t>F01-US-46</t>
  </si>
  <si>
    <t>F01-US-47</t>
  </si>
  <si>
    <t>F14-PP-00</t>
  </si>
  <si>
    <t>F14-AC-01</t>
  </si>
  <si>
    <t>F14-AM-01</t>
  </si>
  <si>
    <t>F14-AE-01</t>
  </si>
  <si>
    <t>F14-AC-02</t>
  </si>
  <si>
    <t>F14-AM-02</t>
  </si>
  <si>
    <t>F14-AE-02</t>
  </si>
  <si>
    <t>F14-AC-03</t>
  </si>
  <si>
    <t>F14-AM-03</t>
  </si>
  <si>
    <t>F14-AE-03</t>
  </si>
  <si>
    <t>F14-AC-04</t>
  </si>
  <si>
    <t>F14-AM-04</t>
  </si>
  <si>
    <t>F14-AE-04</t>
  </si>
  <si>
    <t>F14-AC-05</t>
  </si>
  <si>
    <t>F14-AM-05</t>
  </si>
  <si>
    <t>F14-AE-05</t>
  </si>
  <si>
    <t>F14-AC-06</t>
  </si>
  <si>
    <t>F14-AM-06</t>
  </si>
  <si>
    <t>F14-AE-06</t>
  </si>
  <si>
    <t>F14-AC-07</t>
  </si>
  <si>
    <t>F14-AM-07</t>
  </si>
  <si>
    <t>F14-AE-07</t>
  </si>
  <si>
    <t>Mapping</t>
  </si>
  <si>
    <t>F01-PP-00</t>
  </si>
  <si>
    <t>F01-AC-03</t>
  </si>
  <si>
    <t>F01-AM-03</t>
  </si>
  <si>
    <t>F01-AE-03</t>
  </si>
  <si>
    <t>F01-AC-04</t>
  </si>
  <si>
    <t>F01-AM-04</t>
  </si>
  <si>
    <t>F01-AE-04</t>
  </si>
  <si>
    <t>F01-AC-05</t>
  </si>
  <si>
    <t>F01-AM-05</t>
  </si>
  <si>
    <t>F01-AE-05</t>
  </si>
  <si>
    <t>F01-AC-06</t>
  </si>
  <si>
    <t>F01-AM-06</t>
  </si>
  <si>
    <t>F01-AE-06</t>
  </si>
  <si>
    <t>F01-AC-07</t>
  </si>
  <si>
    <t>F01-AM-07</t>
  </si>
  <si>
    <t>F01-AE-07</t>
  </si>
  <si>
    <t>F01-AC-08</t>
  </si>
  <si>
    <t>F01-AM-08</t>
  </si>
  <si>
    <t>F01-AE-08</t>
  </si>
  <si>
    <t>MCS table</t>
  </si>
  <si>
    <t>MCS index</t>
  </si>
  <si>
    <t>F08-DS-01</t>
  </si>
  <si>
    <t>F08-DS-30</t>
  </si>
  <si>
    <t>F08-DS-31</t>
  </si>
  <si>
    <t>F08-DS-32</t>
  </si>
  <si>
    <t>F08-DS-33</t>
  </si>
  <si>
    <t>F08-DS-34</t>
  </si>
  <si>
    <t>F08-DS-35</t>
  </si>
  <si>
    <t>F08-DS-36</t>
  </si>
  <si>
    <t>F08-DS-37</t>
  </si>
  <si>
    <t>F08-DS-38</t>
  </si>
  <si>
    <t>F08-DS-39</t>
  </si>
  <si>
    <t>F08-DS-40</t>
  </si>
  <si>
    <t>F08-DS-41</t>
  </si>
  <si>
    <t>F08-DS-42</t>
  </si>
  <si>
    <t>F08-DS-43</t>
  </si>
  <si>
    <t>F08-DS-44</t>
  </si>
  <si>
    <t>F08-DS-45</t>
  </si>
  <si>
    <t>F08-DS-46</t>
  </si>
  <si>
    <t>F08-DS-47</t>
  </si>
  <si>
    <t>F08-DS-48</t>
  </si>
  <si>
    <t>F08-DS-49</t>
  </si>
  <si>
    <t>F08-DS-50</t>
  </si>
  <si>
    <t>F08-PP-00</t>
  </si>
  <si>
    <t>F08-AC-01</t>
  </si>
  <si>
    <t>F08-AM-01</t>
  </si>
  <si>
    <t>F08-AE-01</t>
  </si>
  <si>
    <t>F08-AC-02</t>
  </si>
  <si>
    <t>F08-AM-02</t>
  </si>
  <si>
    <t>F08-AE-02</t>
  </si>
  <si>
    <t>F08-AC-03</t>
  </si>
  <si>
    <t>F08-AM-03</t>
  </si>
  <si>
    <t>F08-AE-03</t>
  </si>
  <si>
    <t>F08-AC-04</t>
  </si>
  <si>
    <t>F08-AM-04</t>
  </si>
  <si>
    <t>F08-AE-04</t>
  </si>
  <si>
    <t>F08-AC-05</t>
  </si>
  <si>
    <t>F08-AM-05</t>
  </si>
  <si>
    <t>F08-AE-05</t>
  </si>
  <si>
    <t>F08-AC-06</t>
  </si>
  <si>
    <t>F08-AM-06</t>
  </si>
  <si>
    <t>F08-AE-06</t>
  </si>
  <si>
    <t>F08-AC-07</t>
  </si>
  <si>
    <t>F08-AM-07</t>
  </si>
  <si>
    <t>F08-AE-07</t>
  </si>
  <si>
    <t>F08-US-01</t>
  </si>
  <si>
    <t>F08-US-30</t>
  </si>
  <si>
    <t>F08-US-31</t>
  </si>
  <si>
    <t>F08-US-32</t>
  </si>
  <si>
    <t>F08-US-33</t>
  </si>
  <si>
    <t>F08-US-34</t>
  </si>
  <si>
    <t>F08-US-35</t>
  </si>
  <si>
    <t>F08-US-36</t>
  </si>
  <si>
    <t>F08-US-37</t>
  </si>
  <si>
    <t>F08-US-38</t>
  </si>
  <si>
    <t>F08-US-39</t>
  </si>
  <si>
    <t>F08-US-40</t>
  </si>
  <si>
    <t>F08-US-41</t>
  </si>
  <si>
    <t>F08-US-42</t>
  </si>
  <si>
    <t>F08-US-43</t>
  </si>
  <si>
    <t>F08-US-44</t>
  </si>
  <si>
    <t>F08-US-45</t>
  </si>
  <si>
    <t>F08-US-46</t>
  </si>
  <si>
    <t>F08-US-47</t>
  </si>
  <si>
    <t>F08-US-48</t>
  </si>
  <si>
    <t>F08-US-49</t>
  </si>
  <si>
    <t>F08-US-50</t>
  </si>
  <si>
    <t>F09-DS-01</t>
  </si>
  <si>
    <t>F09-DS-02</t>
  </si>
  <si>
    <t>F14-DS-02</t>
  </si>
  <si>
    <t>F14-DS-03</t>
  </si>
  <si>
    <t>F14-DS-04</t>
  </si>
  <si>
    <t>F09-DS-03</t>
  </si>
  <si>
    <t>F09-DS-04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</si>
</sst>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57171"/>
        <bgColor rgb="FF000000"/>
      </patternFill>
    </fill>
    <fill>
      <patternFill patternType="solid">
        <fgColor rgb="FF757171"/>
        <bgColor indexed="64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0" fillId="2" borderId="0" xfId="0" applyFill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0" fillId="4" borderId="0" xfId="0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0" xfId="0" applyAlignment="1">
      <alignment horizontal="right"/>
    </xf>
    <xf numFmtId="0" fontId="0" fillId="5" borderId="0" xfId="0" applyFill="1" applyAlignment="1">
      <alignment horizontal="left" indent="1"/>
    </xf>
    <xf numFmtId="0" fontId="0" fillId="3" borderId="0" xfId="0" applyFill="1" applyAlignment="1">
      <alignment horizontal="right"/>
    </xf>
    <xf numFmtId="0" fontId="0" fillId="4" borderId="0" xfId="0" applyFill="1" applyAlignment="1">
      <alignment horizontal="left" indent="2"/>
    </xf>
    <xf numFmtId="0" fontId="2" fillId="3" borderId="0" xfId="0" applyFont="1" applyFill="1" applyAlignment="1">
      <alignment horizontal="right"/>
    </xf>
    <xf numFmtId="0" fontId="4" fillId="6" borderId="0" xfId="0" applyFont="1" applyFill="1" applyAlignment="1">
      <alignment horizontal="right"/>
    </xf>
    <xf numFmtId="0" fontId="5" fillId="7" borderId="0" xfId="0" applyFont="1" applyFill="1"/>
    <xf numFmtId="0" fontId="5" fillId="7" borderId="0" xfId="0" applyFont="1" applyFill="1" applyAlignment="1">
      <alignment horizontal="right"/>
    </xf>
    <xf numFmtId="0" fontId="0" fillId="8" borderId="0" xfId="0" applyFill="1" applyAlignment="1">
      <alignment horizontal="left" indent="1"/>
    </xf>
  </cellXfs>
  <cellStyles count="2">
    <cellStyle name="Normal" xfId="0" builtinId="0"/>
    <cellStyle name="Normal 2" xfId="1" xr:uid="{4B40AC08-3DF9-FB46-85A0-B8939A6D5E0F}"/>
  </cellStyles>
  <dxfs count="0"/>
  <tableStyles count="0" defaultTableStyle="TableStyleMedium2" defaultPivotStyle="PivotStyleLight16"/>
  <colors>
    <mruColors>
      <color rgb="FFD9D9D9"/>
      <color rgb="FF75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44954-A178-444A-A9F2-6984224C315B}">
  <sheetPr codeName="Sheet4"/>
  <dimension ref="B2:V37"/>
  <sheetViews>
    <sheetView zoomScaleNormal="100" workbookViewId="0">
      <selection activeCell="D8" sqref="D8"/>
    </sheetView>
  </sheetViews>
  <sheetFormatPr defaultColWidth="8.81640625" defaultRowHeight="14.5" x14ac:dyDescent="0.35"/>
  <cols>
    <col min="1" max="1" width="2.6328125" customWidth="1"/>
    <col min="2" max="2" width="28.81640625" customWidth="1"/>
    <col min="3" max="3" width="1.6328125" customWidth="1"/>
    <col min="4" max="22" width="12.6328125" customWidth="1"/>
  </cols>
  <sheetData>
    <row r="2" spans="2:22" x14ac:dyDescent="0.35">
      <c r="B2" s="3" t="s">
        <v>0</v>
      </c>
      <c r="C2" s="6" t="s">
        <v>100</v>
      </c>
      <c r="D2" s="10" t="s">
        <v>74</v>
      </c>
      <c r="E2" s="10" t="s">
        <v>75</v>
      </c>
      <c r="F2" s="10" t="s">
        <v>76</v>
      </c>
      <c r="G2" s="10" t="s">
        <v>77</v>
      </c>
      <c r="H2" s="10" t="s">
        <v>78</v>
      </c>
      <c r="I2" s="10" t="s">
        <v>79</v>
      </c>
      <c r="J2" s="10" t="s">
        <v>80</v>
      </c>
      <c r="K2" s="10" t="s">
        <v>81</v>
      </c>
      <c r="L2" s="10" t="s">
        <v>82</v>
      </c>
      <c r="M2" s="10" t="s">
        <v>83</v>
      </c>
      <c r="N2" s="10" t="s">
        <v>84</v>
      </c>
      <c r="O2" s="10" t="s">
        <v>85</v>
      </c>
      <c r="P2" s="10" t="s">
        <v>86</v>
      </c>
      <c r="Q2" s="10" t="s">
        <v>111</v>
      </c>
      <c r="R2" s="10" t="s">
        <v>112</v>
      </c>
      <c r="S2" s="10" t="s">
        <v>113</v>
      </c>
      <c r="T2" s="10" t="s">
        <v>114</v>
      </c>
      <c r="U2" s="10" t="s">
        <v>115</v>
      </c>
      <c r="V2" s="10" t="s">
        <v>116</v>
      </c>
    </row>
    <row r="3" spans="2:22" x14ac:dyDescent="0.35">
      <c r="B3" s="4" t="s">
        <v>1</v>
      </c>
      <c r="C3" s="6"/>
      <c r="D3" s="6">
        <v>20</v>
      </c>
      <c r="E3" s="6">
        <v>20</v>
      </c>
      <c r="F3" s="6">
        <v>20</v>
      </c>
      <c r="G3" s="6">
        <v>20</v>
      </c>
      <c r="H3" s="6">
        <v>20</v>
      </c>
      <c r="I3" s="6">
        <v>20</v>
      </c>
      <c r="J3" s="6">
        <v>20</v>
      </c>
      <c r="K3" s="6">
        <v>20</v>
      </c>
      <c r="L3" s="6">
        <v>20</v>
      </c>
      <c r="M3" s="6">
        <v>20</v>
      </c>
      <c r="N3" s="6">
        <v>20</v>
      </c>
      <c r="O3" s="6">
        <v>20</v>
      </c>
      <c r="P3" s="6">
        <v>20</v>
      </c>
      <c r="Q3" s="6">
        <v>20</v>
      </c>
      <c r="R3" s="6">
        <v>20</v>
      </c>
      <c r="S3" s="6">
        <v>20</v>
      </c>
      <c r="T3" s="6">
        <v>20</v>
      </c>
      <c r="U3" s="6">
        <v>20</v>
      </c>
      <c r="V3" s="6">
        <v>20</v>
      </c>
    </row>
    <row r="4" spans="2:22" x14ac:dyDescent="0.35">
      <c r="B4" s="5" t="s">
        <v>2</v>
      </c>
      <c r="C4" s="6"/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</row>
    <row r="5" spans="2:22" x14ac:dyDescent="0.35">
      <c r="B5" s="5" t="s">
        <v>3</v>
      </c>
      <c r="D5" s="6">
        <v>4</v>
      </c>
      <c r="E5" s="6">
        <v>4</v>
      </c>
      <c r="F5" s="6">
        <v>4</v>
      </c>
      <c r="G5" s="6">
        <v>4</v>
      </c>
      <c r="H5" s="6">
        <v>4</v>
      </c>
      <c r="I5" s="6">
        <v>4</v>
      </c>
      <c r="J5" s="6">
        <v>4</v>
      </c>
      <c r="K5" s="6">
        <v>4</v>
      </c>
      <c r="L5" s="6">
        <v>4</v>
      </c>
      <c r="M5" s="6">
        <v>4</v>
      </c>
      <c r="N5" s="6">
        <v>4</v>
      </c>
      <c r="O5" s="6">
        <v>4</v>
      </c>
      <c r="P5" s="6">
        <v>4</v>
      </c>
      <c r="Q5" s="6">
        <v>4</v>
      </c>
      <c r="R5" s="6">
        <v>4</v>
      </c>
      <c r="S5" s="6">
        <v>4</v>
      </c>
      <c r="T5" s="6">
        <v>4</v>
      </c>
      <c r="U5" s="6">
        <v>4</v>
      </c>
      <c r="V5" s="6">
        <v>4</v>
      </c>
    </row>
    <row r="6" spans="2:22" x14ac:dyDescent="0.35">
      <c r="B6" s="5" t="s">
        <v>4</v>
      </c>
      <c r="C6" s="6"/>
      <c r="D6" s="6">
        <v>4</v>
      </c>
      <c r="E6" s="6">
        <v>4</v>
      </c>
      <c r="F6" s="6">
        <v>4</v>
      </c>
      <c r="G6" s="6">
        <v>2</v>
      </c>
      <c r="H6" s="6">
        <v>4</v>
      </c>
      <c r="I6" s="6">
        <v>4</v>
      </c>
      <c r="J6" s="6">
        <v>2</v>
      </c>
      <c r="K6" s="6">
        <v>4</v>
      </c>
      <c r="L6" s="6">
        <v>4</v>
      </c>
      <c r="M6" s="6">
        <v>2</v>
      </c>
      <c r="N6" s="6">
        <v>4</v>
      </c>
      <c r="O6" s="6">
        <v>4</v>
      </c>
      <c r="P6" s="6">
        <v>2</v>
      </c>
      <c r="Q6" s="6">
        <v>4</v>
      </c>
      <c r="R6" s="6">
        <v>4</v>
      </c>
      <c r="S6" s="6">
        <v>2</v>
      </c>
      <c r="T6" s="6">
        <v>4</v>
      </c>
      <c r="U6" s="6">
        <v>4</v>
      </c>
      <c r="V6" s="6">
        <v>2</v>
      </c>
    </row>
    <row r="7" spans="2:22" x14ac:dyDescent="0.35">
      <c r="B7" s="4" t="s">
        <v>5</v>
      </c>
      <c r="C7" s="6"/>
      <c r="D7" s="6">
        <v>106</v>
      </c>
      <c r="E7" s="6">
        <f xml:space="preserve"> 8 * CEILING(E33 *$D$7 * E34 * E35 / 8,1)</f>
        <v>40</v>
      </c>
      <c r="F7" s="6">
        <f t="shared" ref="F7:P7" si="0" xml:space="preserve"> 8 * CEILING(F33 *$D$7 * F34 * F35 / 8,1)</f>
        <v>40</v>
      </c>
      <c r="G7" s="6">
        <f t="shared" si="0"/>
        <v>24</v>
      </c>
      <c r="H7" s="6">
        <f t="shared" si="0"/>
        <v>48</v>
      </c>
      <c r="I7" s="6">
        <f t="shared" si="0"/>
        <v>56</v>
      </c>
      <c r="J7" s="6">
        <f t="shared" si="0"/>
        <v>32</v>
      </c>
      <c r="K7" s="6">
        <f t="shared" si="0"/>
        <v>56</v>
      </c>
      <c r="L7" s="6">
        <f t="shared" si="0"/>
        <v>64</v>
      </c>
      <c r="M7" s="6">
        <f t="shared" si="0"/>
        <v>40</v>
      </c>
      <c r="N7" s="6">
        <f t="shared" si="0"/>
        <v>72</v>
      </c>
      <c r="O7" s="6">
        <f t="shared" si="0"/>
        <v>80</v>
      </c>
      <c r="P7" s="6">
        <f t="shared" si="0"/>
        <v>48</v>
      </c>
      <c r="Q7" s="6">
        <f t="shared" ref="Q7:V7" si="1" xml:space="preserve"> 8 * CEILING(Q33 *$D$7 * Q34 * Q35 / 8,1)</f>
        <v>80</v>
      </c>
      <c r="R7" s="6">
        <f t="shared" si="1"/>
        <v>96</v>
      </c>
      <c r="S7" s="6">
        <f t="shared" si="1"/>
        <v>56</v>
      </c>
      <c r="T7" s="6">
        <f t="shared" si="1"/>
        <v>96</v>
      </c>
      <c r="U7" s="6">
        <f t="shared" si="1"/>
        <v>104</v>
      </c>
      <c r="V7" s="6">
        <f t="shared" si="1"/>
        <v>64</v>
      </c>
    </row>
    <row r="8" spans="2:22" x14ac:dyDescent="0.35">
      <c r="B8" s="4" t="s">
        <v>6</v>
      </c>
      <c r="C8" s="6"/>
      <c r="D8" s="6">
        <v>12</v>
      </c>
      <c r="E8" s="6">
        <v>12</v>
      </c>
      <c r="F8" s="6">
        <v>12</v>
      </c>
      <c r="G8" s="6">
        <v>12</v>
      </c>
      <c r="H8" s="6">
        <v>12</v>
      </c>
      <c r="I8" s="6">
        <v>12</v>
      </c>
      <c r="J8" s="6">
        <v>12</v>
      </c>
      <c r="K8" s="6">
        <v>12</v>
      </c>
      <c r="L8" s="6">
        <v>12</v>
      </c>
      <c r="M8" s="6">
        <v>12</v>
      </c>
      <c r="N8" s="6">
        <v>12</v>
      </c>
      <c r="O8" s="6">
        <v>12</v>
      </c>
      <c r="P8" s="6">
        <v>12</v>
      </c>
      <c r="Q8" s="6">
        <v>12</v>
      </c>
      <c r="R8" s="6">
        <v>12</v>
      </c>
      <c r="S8" s="6">
        <v>12</v>
      </c>
      <c r="T8" s="6">
        <v>12</v>
      </c>
      <c r="U8" s="6">
        <v>12</v>
      </c>
      <c r="V8" s="6">
        <v>12</v>
      </c>
    </row>
    <row r="9" spans="2:22" x14ac:dyDescent="0.35">
      <c r="B9" s="4" t="s">
        <v>7</v>
      </c>
      <c r="C9" s="6"/>
      <c r="D9" s="6">
        <v>1</v>
      </c>
      <c r="E9" s="6">
        <v>1</v>
      </c>
      <c r="F9" s="6">
        <v>1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</row>
    <row r="10" spans="2:22" x14ac:dyDescent="0.35">
      <c r="B10" s="9" t="s">
        <v>8</v>
      </c>
      <c r="C10" s="6"/>
      <c r="D10" s="6">
        <v>1</v>
      </c>
      <c r="E10" s="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</row>
    <row r="11" spans="2:22" x14ac:dyDescent="0.35">
      <c r="B11" s="9" t="s">
        <v>9</v>
      </c>
      <c r="C11" s="6"/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</row>
    <row r="12" spans="2:22" x14ac:dyDescent="0.35">
      <c r="B12" s="4" t="s">
        <v>165</v>
      </c>
      <c r="C12" s="6"/>
      <c r="D12" s="6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</row>
    <row r="13" spans="2:22" x14ac:dyDescent="0.35">
      <c r="B13" s="4" t="s">
        <v>166</v>
      </c>
      <c r="C13" s="6"/>
      <c r="D13" s="6">
        <v>27</v>
      </c>
      <c r="E13">
        <v>24</v>
      </c>
      <c r="F13">
        <v>13</v>
      </c>
      <c r="G13">
        <v>7</v>
      </c>
      <c r="H13">
        <v>24</v>
      </c>
      <c r="I13">
        <v>13</v>
      </c>
      <c r="J13">
        <v>7</v>
      </c>
      <c r="K13">
        <v>24</v>
      </c>
      <c r="L13">
        <v>13</v>
      </c>
      <c r="M13">
        <v>7</v>
      </c>
      <c r="N13">
        <v>24</v>
      </c>
      <c r="O13">
        <v>13</v>
      </c>
      <c r="P13">
        <v>7</v>
      </c>
      <c r="Q13">
        <v>24</v>
      </c>
      <c r="R13">
        <v>13</v>
      </c>
      <c r="S13">
        <v>7</v>
      </c>
      <c r="T13">
        <v>24</v>
      </c>
      <c r="U13">
        <v>13</v>
      </c>
      <c r="V13">
        <v>7</v>
      </c>
    </row>
    <row r="14" spans="2:22" x14ac:dyDescent="0.35">
      <c r="B14" s="4" t="s">
        <v>12</v>
      </c>
      <c r="C14" s="6"/>
      <c r="D14" s="6">
        <v>1</v>
      </c>
      <c r="E14" s="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</row>
    <row r="15" spans="2:22" x14ac:dyDescent="0.35">
      <c r="B15" s="4" t="s">
        <v>13</v>
      </c>
      <c r="C15" s="6"/>
      <c r="D15" s="6">
        <v>1</v>
      </c>
      <c r="E15" s="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</row>
    <row r="16" spans="2:22" x14ac:dyDescent="0.35">
      <c r="B16" s="4" t="s">
        <v>14</v>
      </c>
      <c r="C16" s="6"/>
      <c r="D16" s="6">
        <v>4</v>
      </c>
      <c r="E16" s="6">
        <v>4</v>
      </c>
      <c r="F16" s="6">
        <v>4</v>
      </c>
      <c r="G16" s="6">
        <v>2</v>
      </c>
      <c r="H16" s="6">
        <v>4</v>
      </c>
      <c r="I16" s="6">
        <v>4</v>
      </c>
      <c r="J16" s="6">
        <v>2</v>
      </c>
      <c r="K16" s="6">
        <v>4</v>
      </c>
      <c r="L16" s="6">
        <v>4</v>
      </c>
      <c r="M16" s="6">
        <v>2</v>
      </c>
      <c r="N16" s="6">
        <v>4</v>
      </c>
      <c r="O16" s="6">
        <v>4</v>
      </c>
      <c r="P16" s="6">
        <v>2</v>
      </c>
      <c r="Q16" s="6">
        <v>4</v>
      </c>
      <c r="R16" s="6">
        <v>4</v>
      </c>
      <c r="S16" s="6">
        <v>2</v>
      </c>
      <c r="T16" s="6">
        <v>4</v>
      </c>
      <c r="U16" s="6">
        <v>4</v>
      </c>
      <c r="V16" s="6">
        <v>2</v>
      </c>
    </row>
    <row r="17" spans="2:22" x14ac:dyDescent="0.35">
      <c r="B17" s="4" t="s">
        <v>15</v>
      </c>
      <c r="C17" s="6"/>
      <c r="D17" s="6" t="s">
        <v>101</v>
      </c>
      <c r="E17" s="6" t="s">
        <v>101</v>
      </c>
      <c r="F17" s="6" t="s">
        <v>101</v>
      </c>
      <c r="G17" s="6" t="s">
        <v>101</v>
      </c>
      <c r="H17" s="6" t="s">
        <v>101</v>
      </c>
      <c r="I17" s="6" t="s">
        <v>101</v>
      </c>
      <c r="J17" s="6" t="s">
        <v>101</v>
      </c>
      <c r="K17" s="6" t="s">
        <v>101</v>
      </c>
      <c r="L17" s="6" t="s">
        <v>101</v>
      </c>
      <c r="M17" s="6" t="s">
        <v>101</v>
      </c>
      <c r="N17" s="6" t="s">
        <v>101</v>
      </c>
      <c r="O17" s="6" t="s">
        <v>101</v>
      </c>
      <c r="P17" s="6" t="s">
        <v>101</v>
      </c>
      <c r="Q17" s="6" t="s">
        <v>101</v>
      </c>
      <c r="R17" s="6" t="s">
        <v>101</v>
      </c>
      <c r="S17" s="6" t="s">
        <v>101</v>
      </c>
      <c r="T17" s="6" t="s">
        <v>101</v>
      </c>
      <c r="U17" s="6" t="s">
        <v>101</v>
      </c>
      <c r="V17" s="6" t="s">
        <v>101</v>
      </c>
    </row>
    <row r="18" spans="2:22" x14ac:dyDescent="0.35">
      <c r="B18" s="9" t="s">
        <v>16</v>
      </c>
      <c r="C18" s="6"/>
      <c r="D18" s="6" t="s">
        <v>17</v>
      </c>
      <c r="E18" s="6" t="s">
        <v>17</v>
      </c>
      <c r="F18" s="6" t="s">
        <v>17</v>
      </c>
      <c r="G18" s="6" t="s">
        <v>17</v>
      </c>
      <c r="H18" s="6" t="s">
        <v>17</v>
      </c>
      <c r="I18" s="6" t="s">
        <v>17</v>
      </c>
      <c r="J18" s="6" t="s">
        <v>17</v>
      </c>
      <c r="K18" s="6" t="s">
        <v>17</v>
      </c>
      <c r="L18" s="6" t="s">
        <v>17</v>
      </c>
      <c r="M18" s="6" t="s">
        <v>17</v>
      </c>
      <c r="N18" s="6" t="s">
        <v>17</v>
      </c>
      <c r="O18" s="6" t="s">
        <v>17</v>
      </c>
      <c r="P18" s="6" t="s">
        <v>17</v>
      </c>
      <c r="Q18" s="6" t="s">
        <v>17</v>
      </c>
      <c r="R18" s="6" t="s">
        <v>17</v>
      </c>
      <c r="S18" s="6" t="s">
        <v>17</v>
      </c>
      <c r="T18" s="6" t="s">
        <v>17</v>
      </c>
      <c r="U18" s="6" t="s">
        <v>17</v>
      </c>
      <c r="V18" s="6" t="s">
        <v>17</v>
      </c>
    </row>
    <row r="19" spans="2:22" x14ac:dyDescent="0.35">
      <c r="B19" s="4" t="s">
        <v>18</v>
      </c>
      <c r="C19" s="6"/>
      <c r="D19" s="6" t="s">
        <v>17</v>
      </c>
      <c r="E19" s="6" t="s">
        <v>17</v>
      </c>
      <c r="F19" s="6" t="s">
        <v>17</v>
      </c>
      <c r="G19" s="6" t="s">
        <v>17</v>
      </c>
      <c r="H19" s="6" t="s">
        <v>17</v>
      </c>
      <c r="I19" s="6" t="s">
        <v>17</v>
      </c>
      <c r="J19" s="6" t="s">
        <v>17</v>
      </c>
      <c r="K19" s="6" t="s">
        <v>17</v>
      </c>
      <c r="L19" s="6" t="s">
        <v>17</v>
      </c>
      <c r="M19" s="6" t="s">
        <v>17</v>
      </c>
      <c r="N19" s="6" t="s">
        <v>17</v>
      </c>
      <c r="O19" s="6" t="s">
        <v>17</v>
      </c>
      <c r="P19" s="6" t="s">
        <v>17</v>
      </c>
      <c r="Q19" s="6" t="s">
        <v>17</v>
      </c>
      <c r="R19" s="6" t="s">
        <v>17</v>
      </c>
      <c r="S19" s="6" t="s">
        <v>17</v>
      </c>
      <c r="T19" s="6" t="s">
        <v>17</v>
      </c>
      <c r="U19" s="6" t="s">
        <v>17</v>
      </c>
      <c r="V19" s="6" t="s">
        <v>17</v>
      </c>
    </row>
    <row r="20" spans="2:22" x14ac:dyDescent="0.35">
      <c r="B20" s="4" t="s">
        <v>19</v>
      </c>
      <c r="C20" s="6"/>
      <c r="D20" s="6">
        <v>1</v>
      </c>
      <c r="E20" s="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</row>
    <row r="21" spans="2:22" x14ac:dyDescent="0.35">
      <c r="B21" s="2" t="s">
        <v>20</v>
      </c>
      <c r="C21" s="6"/>
      <c r="D21" s="8"/>
      <c r="E21" s="8"/>
      <c r="F21" s="8"/>
      <c r="G21" s="8"/>
      <c r="H21" s="8"/>
      <c r="I21" s="8"/>
      <c r="J21" s="8"/>
      <c r="K21" s="11"/>
      <c r="L21" s="11"/>
      <c r="M21" s="11"/>
      <c r="N21" s="11"/>
      <c r="O21" s="11"/>
      <c r="P21" s="8"/>
      <c r="Q21" s="11"/>
      <c r="R21" s="11"/>
      <c r="S21" s="8"/>
      <c r="T21" s="11"/>
      <c r="U21" s="11"/>
      <c r="V21" s="8"/>
    </row>
    <row r="22" spans="2:22" x14ac:dyDescent="0.35">
      <c r="B22" s="7" t="s">
        <v>21</v>
      </c>
      <c r="C22" s="6"/>
      <c r="D22" s="6" t="s">
        <v>22</v>
      </c>
      <c r="E22" s="6" t="s">
        <v>22</v>
      </c>
      <c r="F22" s="6" t="s">
        <v>22</v>
      </c>
      <c r="G22" s="6" t="s">
        <v>22</v>
      </c>
      <c r="H22" s="6" t="s">
        <v>22</v>
      </c>
      <c r="I22" s="6" t="s">
        <v>22</v>
      </c>
      <c r="J22" s="6" t="s">
        <v>22</v>
      </c>
      <c r="K22" s="6" t="s">
        <v>22</v>
      </c>
      <c r="L22" s="6" t="s">
        <v>22</v>
      </c>
      <c r="M22" s="6" t="s">
        <v>22</v>
      </c>
      <c r="N22" s="6" t="s">
        <v>22</v>
      </c>
      <c r="O22" s="6" t="s">
        <v>22</v>
      </c>
      <c r="P22" s="6" t="s">
        <v>22</v>
      </c>
      <c r="Q22" s="6" t="s">
        <v>22</v>
      </c>
      <c r="R22" s="6" t="s">
        <v>22</v>
      </c>
      <c r="S22" s="6" t="s">
        <v>22</v>
      </c>
      <c r="T22" s="6" t="s">
        <v>22</v>
      </c>
      <c r="U22" s="6" t="s">
        <v>22</v>
      </c>
      <c r="V22" s="6" t="s">
        <v>22</v>
      </c>
    </row>
    <row r="23" spans="2:22" x14ac:dyDescent="0.35">
      <c r="B23" s="7" t="s">
        <v>23</v>
      </c>
      <c r="C23" s="6"/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</row>
    <row r="24" spans="2:22" x14ac:dyDescent="0.35">
      <c r="B24" s="7" t="s">
        <v>24</v>
      </c>
      <c r="C24" s="6"/>
      <c r="D24" s="6" t="s">
        <v>25</v>
      </c>
      <c r="E24" s="6" t="s">
        <v>25</v>
      </c>
      <c r="F24" s="6" t="s">
        <v>25</v>
      </c>
      <c r="G24" s="6" t="s">
        <v>25</v>
      </c>
      <c r="H24" s="6" t="s">
        <v>25</v>
      </c>
      <c r="I24" s="6" t="s">
        <v>25</v>
      </c>
      <c r="J24" s="6" t="s">
        <v>25</v>
      </c>
      <c r="K24" s="6" t="s">
        <v>25</v>
      </c>
      <c r="L24" s="6" t="s">
        <v>25</v>
      </c>
      <c r="M24" s="6" t="s">
        <v>25</v>
      </c>
      <c r="N24" s="6" t="s">
        <v>25</v>
      </c>
      <c r="O24" s="6" t="s">
        <v>25</v>
      </c>
      <c r="P24" s="6" t="s">
        <v>25</v>
      </c>
      <c r="Q24" s="6" t="s">
        <v>25</v>
      </c>
      <c r="R24" s="6" t="s">
        <v>25</v>
      </c>
      <c r="S24" s="6" t="s">
        <v>25</v>
      </c>
      <c r="T24" s="6" t="s">
        <v>25</v>
      </c>
      <c r="U24" s="6" t="s">
        <v>25</v>
      </c>
      <c r="V24" s="6" t="s">
        <v>25</v>
      </c>
    </row>
    <row r="25" spans="2:22" x14ac:dyDescent="0.35">
      <c r="B25" s="2" t="s">
        <v>26</v>
      </c>
      <c r="C25" s="6"/>
      <c r="D25" s="8"/>
      <c r="E25" s="8"/>
      <c r="F25" s="8"/>
      <c r="G25" s="8"/>
      <c r="H25" s="8"/>
      <c r="I25" s="8"/>
      <c r="J25" s="8"/>
      <c r="K25" s="11"/>
      <c r="L25" s="11"/>
      <c r="M25" s="11"/>
      <c r="N25" s="11"/>
      <c r="O25" s="11"/>
      <c r="P25" s="8"/>
      <c r="Q25" s="11"/>
      <c r="R25" s="11"/>
      <c r="S25" s="8"/>
      <c r="T25" s="11"/>
      <c r="U25" s="11"/>
      <c r="V25" s="8"/>
    </row>
    <row r="26" spans="2:22" x14ac:dyDescent="0.35">
      <c r="B26" s="14" t="s">
        <v>10</v>
      </c>
      <c r="C26" s="6"/>
      <c r="D26" s="6" cm="1">
        <f t="array" ref="D26">Comm_MCS_ModOrd(D12,D13)</f>
        <v>8</v>
      </c>
      <c r="E26" s="6" cm="1">
        <f t="array" ref="E26">Comm_MCS_ModOrd(E12,E13)</f>
        <v>8</v>
      </c>
      <c r="F26" s="6" cm="1">
        <f t="array" ref="F26">Comm_MCS_ModOrd(F12,F13)</f>
        <v>6</v>
      </c>
      <c r="G26" s="6" cm="1">
        <f t="array" ref="G26">Comm_MCS_ModOrd(G12,G13)</f>
        <v>4</v>
      </c>
      <c r="H26" s="6" cm="1">
        <f t="array" ref="H26">Comm_MCS_ModOrd(H12,H13)</f>
        <v>8</v>
      </c>
      <c r="I26" s="6" cm="1">
        <f t="array" ref="I26">Comm_MCS_ModOrd(I12,I13)</f>
        <v>6</v>
      </c>
      <c r="J26" s="6" cm="1">
        <f t="array" ref="J26">Comm_MCS_ModOrd(J12,J13)</f>
        <v>4</v>
      </c>
      <c r="K26" s="6" cm="1">
        <f t="array" ref="K26">Comm_MCS_ModOrd(K12,K13)</f>
        <v>8</v>
      </c>
      <c r="L26" s="6" cm="1">
        <f t="array" ref="L26">Comm_MCS_ModOrd(L12,L13)</f>
        <v>6</v>
      </c>
      <c r="M26" s="6" cm="1">
        <f t="array" ref="M26">Comm_MCS_ModOrd(M12,M13)</f>
        <v>4</v>
      </c>
      <c r="N26" s="6" cm="1">
        <f t="array" ref="N26">Comm_MCS_ModOrd(N12,N13)</f>
        <v>8</v>
      </c>
      <c r="O26" s="6" cm="1">
        <f t="array" ref="O26">Comm_MCS_ModOrd(O12,O13)</f>
        <v>6</v>
      </c>
      <c r="P26" s="6" cm="1">
        <f t="array" ref="P26">Comm_MCS_ModOrd(P12,P13)</f>
        <v>4</v>
      </c>
      <c r="Q26" s="6" cm="1">
        <f t="array" ref="Q26">Comm_MCS_ModOrd(Q12,Q13)</f>
        <v>8</v>
      </c>
      <c r="R26" s="6" cm="1">
        <f t="array" ref="R26">Comm_MCS_ModOrd(R12,R13)</f>
        <v>6</v>
      </c>
      <c r="S26" s="6" cm="1">
        <f t="array" ref="S26">Comm_MCS_ModOrd(S12,S13)</f>
        <v>4</v>
      </c>
      <c r="T26" s="6" cm="1">
        <f t="array" ref="T26">Comm_MCS_ModOrd(T12,T13)</f>
        <v>8</v>
      </c>
      <c r="U26" s="6" cm="1">
        <f t="array" ref="U26">Comm_MCS_ModOrd(U12,U13)</f>
        <v>6</v>
      </c>
      <c r="V26" s="6" cm="1">
        <f t="array" ref="V26">Comm_MCS_ModOrd(V12,V13)</f>
        <v>4</v>
      </c>
    </row>
    <row r="27" spans="2:22" x14ac:dyDescent="0.35">
      <c r="B27" s="14" t="s">
        <v>11</v>
      </c>
      <c r="C27" s="6"/>
      <c r="D27" s="6" cm="1">
        <f t="array" ref="D27">Comm_MCS_CodeRate(D12,D13)</f>
        <v>948</v>
      </c>
      <c r="E27" s="6" cm="1">
        <f t="array" ref="E27">Comm_MCS_CodeRate(E12,E13)</f>
        <v>841</v>
      </c>
      <c r="F27" s="6" cm="1">
        <f t="array" ref="F27">Comm_MCS_CodeRate(F12,F13)</f>
        <v>567</v>
      </c>
      <c r="G27" s="6" cm="1">
        <f t="array" ref="G27">Comm_MCS_CodeRate(G12,G13)</f>
        <v>490</v>
      </c>
      <c r="H27" s="6" cm="1">
        <f t="array" ref="H27">Comm_MCS_CodeRate(H12,H13)</f>
        <v>841</v>
      </c>
      <c r="I27" s="6" cm="1">
        <f t="array" ref="I27">Comm_MCS_CodeRate(I12,I13)</f>
        <v>567</v>
      </c>
      <c r="J27" s="6" cm="1">
        <f t="array" ref="J27">Comm_MCS_CodeRate(J12,J13)</f>
        <v>490</v>
      </c>
      <c r="K27" s="6" cm="1">
        <f t="array" ref="K27">Comm_MCS_CodeRate(K12,K13)</f>
        <v>841</v>
      </c>
      <c r="L27" s="6" cm="1">
        <f t="array" ref="L27">Comm_MCS_CodeRate(L12,L13)</f>
        <v>567</v>
      </c>
      <c r="M27" s="6" cm="1">
        <f t="array" ref="M27">Comm_MCS_CodeRate(M12,M13)</f>
        <v>490</v>
      </c>
      <c r="N27" s="6" cm="1">
        <f t="array" ref="N27">Comm_MCS_CodeRate(N12,N13)</f>
        <v>841</v>
      </c>
      <c r="O27" s="6" cm="1">
        <f t="array" ref="O27">Comm_MCS_CodeRate(O12,O13)</f>
        <v>567</v>
      </c>
      <c r="P27" s="6" cm="1">
        <f t="array" ref="P27">Comm_MCS_CodeRate(P12,P13)</f>
        <v>490</v>
      </c>
      <c r="Q27" s="6" cm="1">
        <f t="array" ref="Q27">Comm_MCS_CodeRate(Q12,Q13)</f>
        <v>841</v>
      </c>
      <c r="R27" s="6" cm="1">
        <f t="array" ref="R27">Comm_MCS_CodeRate(R12,R13)</f>
        <v>567</v>
      </c>
      <c r="S27" s="6" cm="1">
        <f t="array" ref="S27">Comm_MCS_CodeRate(S12,S13)</f>
        <v>490</v>
      </c>
      <c r="T27" s="6" cm="1">
        <f t="array" ref="T27">Comm_MCS_CodeRate(T12,T13)</f>
        <v>841</v>
      </c>
      <c r="U27" s="6" cm="1">
        <f t="array" ref="U27">Comm_MCS_CodeRate(U12,U13)</f>
        <v>567</v>
      </c>
      <c r="V27" s="6" cm="1">
        <f t="array" ref="V27">Comm_MCS_CodeRate(V12,V13)</f>
        <v>490</v>
      </c>
    </row>
    <row r="28" spans="2:22" x14ac:dyDescent="0.35">
      <c r="B28" s="1" t="s">
        <v>27</v>
      </c>
      <c r="C28" s="6"/>
      <c r="D28" s="6" cm="1">
        <f t="array" ref="D28">Comm_Z(D7, D26, D27, D8, D9, D6/D15)</f>
        <v>384</v>
      </c>
      <c r="E28" s="6" cm="1">
        <f t="array" ref="E28">Comm_Z(E7, E26, E27, E8, E9, E6/E15)</f>
        <v>384</v>
      </c>
      <c r="F28" s="6" cm="1">
        <f t="array" ref="F28">Comm_Z(F7, F26, F27, F8, F9, F6/F15)</f>
        <v>384</v>
      </c>
      <c r="G28" s="6" cm="1">
        <f t="array" ref="G28">Comm_Z(G7, G26, G27, G8, G9, G6/G15)</f>
        <v>288</v>
      </c>
      <c r="H28" s="6" cm="1">
        <f t="array" ref="H28">Comm_Z(H7, H26, H27, H8, H9, H6/H15)</f>
        <v>384</v>
      </c>
      <c r="I28" s="6" cm="1">
        <f t="array" ref="I28">Comm_Z(I7, I26, I27, I8, I9, I6/I15)</f>
        <v>384</v>
      </c>
      <c r="J28" s="6" cm="1">
        <f t="array" ref="J28">Comm_Z(J7, J26, J27, J8, J9, J6/J15)</f>
        <v>384</v>
      </c>
      <c r="K28" s="6" cm="1">
        <f t="array" ref="K28">Comm_Z(K7, K26, K27, K8, K9, K6/K15)</f>
        <v>384</v>
      </c>
      <c r="L28" s="6" cm="1">
        <f t="array" ref="L28">Comm_Z(L7, L26, L27, L8, L9, L6/L15)</f>
        <v>384</v>
      </c>
      <c r="M28" s="6" cm="1">
        <f t="array" ref="M28">Comm_Z(M7, M26, M27, M8, M9, M6/M15)</f>
        <v>320</v>
      </c>
      <c r="N28" s="6" cm="1">
        <f t="array" ref="N28">Comm_Z(N7, N26, N27, N8, N9, N6/N15)</f>
        <v>384</v>
      </c>
      <c r="O28" s="6" cm="1">
        <f t="array" ref="O28">Comm_Z(O7, O26, O27, O8, O9, O6/O15)</f>
        <v>384</v>
      </c>
      <c r="P28" s="6" cm="1">
        <f t="array" ref="P28">Comm_Z(P7, P26, P27, P8, P9, P6/P15)</f>
        <v>384</v>
      </c>
      <c r="Q28" s="6" cm="1">
        <f t="array" ref="Q28">Comm_Z(Q7, Q26, Q27, Q8, Q9, Q6/Q15)</f>
        <v>384</v>
      </c>
      <c r="R28" s="6" cm="1">
        <f t="array" ref="R28">Comm_Z(R7, R26, R27, R8, R9, R6/R15)</f>
        <v>384</v>
      </c>
      <c r="S28" s="6" cm="1">
        <f t="array" ref="S28">Comm_Z(S7, S26, S27, S8, S9, S6/S15)</f>
        <v>352</v>
      </c>
      <c r="T28" s="6" cm="1">
        <f t="array" ref="T28">Comm_Z(T7, T26, T27, T8, T9, T6/T15)</f>
        <v>384</v>
      </c>
      <c r="U28" s="6" cm="1">
        <f t="array" ref="U28">Comm_Z(U7, U26, U27, U8, U9, U6/U15)</f>
        <v>384</v>
      </c>
      <c r="V28" s="6" cm="1">
        <f t="array" ref="V28">Comm_Z(V7, V26, V27, V8, V9, V6/V15)</f>
        <v>384</v>
      </c>
    </row>
    <row r="29" spans="2:22" x14ac:dyDescent="0.35">
      <c r="B29" s="1" t="s">
        <v>28</v>
      </c>
      <c r="C29" s="6"/>
      <c r="D29" s="6" cm="1">
        <f t="array" ref="D29">Comm_TBS(D7, D26, D27, D8, D9, D6/D15)</f>
        <v>417976</v>
      </c>
      <c r="E29" s="6" cm="1">
        <f t="array" ref="E29">Comm_TBS(E7, E26, E27, E8, E9, E6/E15)</f>
        <v>139376</v>
      </c>
      <c r="F29" s="6" cm="1">
        <f t="array" ref="F29">Comm_TBS(F7, F26, F27, F8, F9, F6/F15)</f>
        <v>69672</v>
      </c>
      <c r="G29" s="6" cm="1">
        <f t="array" ref="G29">Comm_TBS(G7, G26, G27, G8, G9, G6/G15)</f>
        <v>12040</v>
      </c>
      <c r="H29" s="6" cm="1">
        <f t="array" ref="H29">Comm_TBS(H7, H26, H27, H8, H9, H6/H15)</f>
        <v>167976</v>
      </c>
      <c r="I29" s="6" cm="1">
        <f t="array" ref="I29">Comm_TBS(I7, I26, I27, I8, I9, I6/I15)</f>
        <v>98376</v>
      </c>
      <c r="J29" s="6" cm="1">
        <f t="array" ref="J29">Comm_TBS(J7, J26, J27, J8, J9, J6/J15)</f>
        <v>16136</v>
      </c>
      <c r="K29" s="6" cm="1">
        <f t="array" ref="K29">Comm_TBS(K7, K26, K27, K8, K9, K6/K15)</f>
        <v>192624</v>
      </c>
      <c r="L29" s="6" cm="1">
        <f t="array" ref="L29">Comm_TBS(L7, L26, L27, L8, L9, L6/L15)</f>
        <v>112648</v>
      </c>
      <c r="M29" s="6" cm="1">
        <f t="array" ref="M29">Comm_TBS(M7, M26, M27, M8, M9, M6/M15)</f>
        <v>19968</v>
      </c>
      <c r="N29" s="6" cm="1">
        <f t="array" ref="N29">Comm_TBS(N7, N26, N27, N8, N9, N6/N15)</f>
        <v>250056</v>
      </c>
      <c r="O29" s="6" cm="1">
        <f t="array" ref="O29">Comm_TBS(O7, O26, O27, O8, O9, O6/O15)</f>
        <v>139376</v>
      </c>
      <c r="P29" s="6" cm="1">
        <f t="array" ref="P29">Comm_TBS(P7, P26, P27, P8, P9, P6/P15)</f>
        <v>24072</v>
      </c>
      <c r="Q29" s="6" cm="1">
        <f t="array" ref="Q29">Comm_TBS(Q7, Q26, Q27, Q8, Q9, Q6/Q15)</f>
        <v>278776</v>
      </c>
      <c r="R29" s="6" cm="1">
        <f t="array" ref="R29">Comm_TBS(R7, R26, R27, R8, R9, R6/R15)</f>
        <v>167976</v>
      </c>
      <c r="S29" s="6" cm="1">
        <f t="array" ref="S29">Comm_TBS(S7, S26, S27, S8, S9, S6/S15)</f>
        <v>28168</v>
      </c>
      <c r="T29" s="6" cm="1">
        <f t="array" ref="T29">Comm_TBS(T7, T26, T27, T8, T9, T6/T15)</f>
        <v>335976</v>
      </c>
      <c r="U29" s="6" cm="1">
        <f t="array" ref="U29">Comm_TBS(U7, U26, U27, U8, U9, U6/U15)</f>
        <v>184424</v>
      </c>
      <c r="V29" s="6" cm="1">
        <f t="array" ref="V29">Comm_TBS(V7, V26, V27, V8, V9, V6/V15)</f>
        <v>32264</v>
      </c>
    </row>
    <row r="30" spans="2:22" x14ac:dyDescent="0.35">
      <c r="B30" s="1" t="s">
        <v>29</v>
      </c>
      <c r="C30" s="6"/>
      <c r="D30" s="6" cm="1">
        <f t="array" ref="D30">Comm_CB(D7, D26, D27, D8, D9, D6/D15)</f>
        <v>50</v>
      </c>
      <c r="E30" s="6" cm="1">
        <f t="array" ref="E30">Comm_CB(E7, E26, E27, E8, E9, E6/E15)</f>
        <v>17</v>
      </c>
      <c r="F30" s="6" cm="1">
        <f t="array" ref="F30">Comm_CB(F7, F26, F27, F8, F9, F6/F15)</f>
        <v>9</v>
      </c>
      <c r="G30" s="6" cm="1">
        <f t="array" ref="G30">Comm_CB(G7, G26, G27, G8, G9, G6/G15)</f>
        <v>2</v>
      </c>
      <c r="H30" s="6" cm="1">
        <f t="array" ref="H30">Comm_CB(H7, H26, H27, H8, H9, H6/H15)</f>
        <v>20</v>
      </c>
      <c r="I30" s="6" cm="1">
        <f t="array" ref="I30">Comm_CB(I7, I26, I27, I8, I9, I6/I15)</f>
        <v>12</v>
      </c>
      <c r="J30" s="6" cm="1">
        <f t="array" ref="J30">Comm_CB(J7, J26, J27, J8, J9, J6/J15)</f>
        <v>2</v>
      </c>
      <c r="K30" s="6" cm="1">
        <f t="array" ref="K30">Comm_CB(K7, K26, K27, K8, K9, K6/K15)</f>
        <v>23</v>
      </c>
      <c r="L30" s="6" cm="1">
        <f t="array" ref="L30">Comm_CB(L7, L26, L27, L8, L9, L6/L15)</f>
        <v>14</v>
      </c>
      <c r="M30" s="6" cm="1">
        <f t="array" ref="M30">Comm_CB(M7, M26, M27, M8, M9, M6/M15)</f>
        <v>3</v>
      </c>
      <c r="N30" s="6" cm="1">
        <f t="array" ref="N30">Comm_CB(N7, N26, N27, N8, N9, N6/N15)</f>
        <v>30</v>
      </c>
      <c r="O30" s="6" cm="1">
        <f t="array" ref="O30">Comm_CB(O7, O26, O27, O8, O9, O6/O15)</f>
        <v>17</v>
      </c>
      <c r="P30" s="6" cm="1">
        <f t="array" ref="P30">Comm_CB(P7, P26, P27, P8, P9, P6/P15)</f>
        <v>3</v>
      </c>
      <c r="Q30" s="6" cm="1">
        <f t="array" ref="Q30">Comm_CB(Q7, Q26, Q27, Q8, Q9, Q6/Q15)</f>
        <v>34</v>
      </c>
      <c r="R30" s="6" cm="1">
        <f t="array" ref="R30">Comm_CB(R7, R26, R27, R8, R9, R6/R15)</f>
        <v>20</v>
      </c>
      <c r="S30" s="6" cm="1">
        <f t="array" ref="S30">Comm_CB(S7, S26, S27, S8, S9, S6/S15)</f>
        <v>4</v>
      </c>
      <c r="T30" s="6" cm="1">
        <f t="array" ref="T30">Comm_CB(T7, T26, T27, T8, T9, T6/T15)</f>
        <v>40</v>
      </c>
      <c r="U30" s="6" cm="1">
        <f t="array" ref="U30">Comm_CB(U7, U26, U27, U8, U9, U6/U15)</f>
        <v>22</v>
      </c>
      <c r="V30" s="6" cm="1">
        <f t="array" ref="V30">Comm_CB(V7, V26, V27, V8, V9, V6/V15)</f>
        <v>4</v>
      </c>
    </row>
    <row r="31" spans="2:22" x14ac:dyDescent="0.35">
      <c r="B31" s="1" t="s">
        <v>30</v>
      </c>
      <c r="D31" s="6" cm="1">
        <f t="array" ref="D31">Comm_Parity_Nodes(D7, D26, D27, D8, D9, D6/D15)</f>
        <v>4</v>
      </c>
      <c r="E31" s="6" cm="1">
        <f t="array" ref="E31">Comm_Parity_Nodes(E7, E26, E27, E8, E9, E6/E15)</f>
        <v>7</v>
      </c>
      <c r="F31" s="6" cm="1">
        <f t="array" ref="F31">Comm_Parity_Nodes(F7, F26, F27, F8, F9, F6/F15)</f>
        <v>19</v>
      </c>
      <c r="G31" s="6" cm="1">
        <f t="array" ref="G31">Comm_Parity_Nodes(G7, G26, G27, G8, G9, G6/G15)</f>
        <v>25</v>
      </c>
      <c r="H31" s="6" cm="1">
        <f t="array" ref="H31">Comm_Parity_Nodes(H7, H26, H27, H8, H9, H6/H15)</f>
        <v>7</v>
      </c>
      <c r="I31" s="6" cm="1">
        <f t="array" ref="I31">Comm_Parity_Nodes(I7, I26, I27, I8, I9, I6/I15)</f>
        <v>20</v>
      </c>
      <c r="J31" s="6" cm="1">
        <f t="array" ref="J31">Comm_Parity_Nodes(J7, J26, J27, J8, J9, J6/J15)</f>
        <v>25</v>
      </c>
      <c r="K31" s="6" cm="1">
        <f t="array" ref="K31">Comm_Parity_Nodes(K7, K26, K27, K8, K9, K6/K15)</f>
        <v>7</v>
      </c>
      <c r="L31" s="6" cm="1">
        <f t="array" ref="L31">Comm_Parity_Nodes(L7, L26, L27, L8, L9, L6/L15)</f>
        <v>19</v>
      </c>
      <c r="M31" s="6" cm="1">
        <f t="array" ref="M31">Comm_Parity_Nodes(M7, M26, M27, M8, M9, M6/M15)</f>
        <v>26</v>
      </c>
      <c r="N31" s="6" cm="1">
        <f t="array" ref="N31">Comm_Parity_Nodes(N7, N26, N27, N8, N9, N6/N15)</f>
        <v>7</v>
      </c>
      <c r="O31" s="6" cm="1">
        <f t="array" ref="O31">Comm_Parity_Nodes(O7, O26, O27, O8, O9, O6/O15)</f>
        <v>20</v>
      </c>
      <c r="P31" s="6" cm="1">
        <f t="array" ref="P31">Comm_Parity_Nodes(P7, P26, P27, P8, P9, P6/P15)</f>
        <v>26</v>
      </c>
      <c r="Q31" s="6" cm="1">
        <f t="array" ref="Q31">Comm_Parity_Nodes(Q7, Q26, Q27, Q8, Q9, Q6/Q15)</f>
        <v>7</v>
      </c>
      <c r="R31" s="6" cm="1">
        <f t="array" ref="R31">Comm_Parity_Nodes(R7, R26, R27, R8, R9, R6/R15)</f>
        <v>20</v>
      </c>
      <c r="S31" s="6" cm="1">
        <f t="array" ref="S31">Comm_Parity_Nodes(S7, S26, S27, S8, S9, S6/S15)</f>
        <v>24</v>
      </c>
      <c r="T31" s="6" cm="1">
        <f t="array" ref="T31">Comm_Parity_Nodes(T7, T26, T27, T8, T9, T6/T15)</f>
        <v>7</v>
      </c>
      <c r="U31" s="6" cm="1">
        <f t="array" ref="U31">Comm_Parity_Nodes(U7, U26, U27, U8, U9, U6/U15)</f>
        <v>20</v>
      </c>
      <c r="V31" s="6" cm="1">
        <f t="array" ref="V31">Comm_Parity_Nodes(V7, V26, V27, V8, V9, V6/V15)</f>
        <v>25</v>
      </c>
    </row>
    <row r="33" spans="2:22" x14ac:dyDescent="0.35">
      <c r="B33" s="1" t="s">
        <v>102</v>
      </c>
      <c r="D33" s="6"/>
      <c r="E33" s="6">
        <v>3</v>
      </c>
      <c r="F33" s="6">
        <v>3</v>
      </c>
      <c r="G33" s="6">
        <v>3</v>
      </c>
      <c r="H33" s="6">
        <v>4</v>
      </c>
      <c r="I33" s="6">
        <v>4</v>
      </c>
      <c r="J33" s="6">
        <v>4</v>
      </c>
      <c r="K33" s="6">
        <v>5</v>
      </c>
      <c r="L33" s="6">
        <v>5</v>
      </c>
      <c r="M33" s="6">
        <v>5</v>
      </c>
      <c r="N33" s="6">
        <v>6</v>
      </c>
      <c r="O33" s="6">
        <v>6</v>
      </c>
      <c r="P33" s="6">
        <v>6</v>
      </c>
      <c r="Q33" s="6">
        <v>7</v>
      </c>
      <c r="R33" s="6">
        <v>7</v>
      </c>
      <c r="S33" s="6">
        <v>7</v>
      </c>
      <c r="T33" s="6">
        <v>8</v>
      </c>
      <c r="U33" s="6">
        <v>8</v>
      </c>
      <c r="V33" s="6">
        <v>8</v>
      </c>
    </row>
    <row r="34" spans="2:22" x14ac:dyDescent="0.35">
      <c r="B34" s="1" t="s">
        <v>103</v>
      </c>
      <c r="D34" s="6"/>
      <c r="E34" s="6">
        <v>0.3</v>
      </c>
      <c r="F34" s="6">
        <v>0.3</v>
      </c>
      <c r="G34" s="6">
        <v>0.3</v>
      </c>
      <c r="H34" s="6">
        <v>0.3</v>
      </c>
      <c r="I34" s="6">
        <v>0.3</v>
      </c>
      <c r="J34" s="6">
        <v>0.3</v>
      </c>
      <c r="K34" s="6">
        <v>0.3</v>
      </c>
      <c r="L34" s="6">
        <v>0.3</v>
      </c>
      <c r="M34" s="6">
        <v>0.3</v>
      </c>
      <c r="N34" s="6">
        <v>0.3</v>
      </c>
      <c r="O34" s="6">
        <v>0.3</v>
      </c>
      <c r="P34" s="6">
        <v>0.3</v>
      </c>
      <c r="Q34" s="6">
        <v>0.3</v>
      </c>
      <c r="R34" s="6">
        <v>0.3</v>
      </c>
      <c r="S34" s="6">
        <v>0.3</v>
      </c>
      <c r="T34" s="6">
        <v>0.3</v>
      </c>
      <c r="U34" s="6">
        <v>0.3</v>
      </c>
      <c r="V34" s="6">
        <v>0.3</v>
      </c>
    </row>
    <row r="35" spans="2:22" x14ac:dyDescent="0.35">
      <c r="B35" s="1" t="s">
        <v>104</v>
      </c>
      <c r="D35" s="6"/>
      <c r="E35" s="6">
        <v>0.35</v>
      </c>
      <c r="F35" s="6">
        <v>0.4</v>
      </c>
      <c r="G35">
        <v>0.25</v>
      </c>
      <c r="H35" s="6">
        <v>0.35</v>
      </c>
      <c r="I35" s="6">
        <v>0.4</v>
      </c>
      <c r="J35">
        <v>0.25</v>
      </c>
      <c r="K35" s="6">
        <v>0.35</v>
      </c>
      <c r="L35" s="6">
        <v>0.4</v>
      </c>
      <c r="M35">
        <v>0.25</v>
      </c>
      <c r="N35" s="6">
        <v>0.35</v>
      </c>
      <c r="O35" s="6">
        <v>0.4</v>
      </c>
      <c r="P35">
        <v>0.25</v>
      </c>
      <c r="Q35" s="6">
        <v>0.35</v>
      </c>
      <c r="R35" s="6">
        <v>0.4</v>
      </c>
      <c r="S35">
        <v>0.25</v>
      </c>
      <c r="T35" s="6">
        <v>0.35</v>
      </c>
      <c r="U35" s="6">
        <v>0.4</v>
      </c>
      <c r="V35">
        <v>0.25</v>
      </c>
    </row>
    <row r="36" spans="2:22" x14ac:dyDescent="0.35">
      <c r="B36" s="12" t="s">
        <v>145</v>
      </c>
      <c r="D36" s="13" t="s">
        <v>146</v>
      </c>
      <c r="E36" s="13" t="s">
        <v>147</v>
      </c>
      <c r="F36" s="13" t="s">
        <v>148</v>
      </c>
      <c r="G36" s="13" t="s">
        <v>149</v>
      </c>
      <c r="H36" s="13" t="s">
        <v>150</v>
      </c>
      <c r="I36" s="13" t="s">
        <v>151</v>
      </c>
      <c r="J36" s="13" t="s">
        <v>152</v>
      </c>
      <c r="K36" s="13" t="s">
        <v>153</v>
      </c>
      <c r="L36" s="13" t="s">
        <v>154</v>
      </c>
      <c r="M36" s="13" t="s">
        <v>155</v>
      </c>
      <c r="N36" s="13" t="s">
        <v>156</v>
      </c>
      <c r="O36" s="13" t="s">
        <v>157</v>
      </c>
      <c r="P36" s="13" t="s">
        <v>158</v>
      </c>
      <c r="Q36" s="13" t="s">
        <v>159</v>
      </c>
      <c r="R36" s="13" t="s">
        <v>160</v>
      </c>
      <c r="S36" s="13" t="s">
        <v>161</v>
      </c>
      <c r="T36" s="13" t="s">
        <v>162</v>
      </c>
      <c r="U36" s="13" t="s">
        <v>163</v>
      </c>
      <c r="V36" s="13" t="s">
        <v>164</v>
      </c>
    </row>
    <row r="37" spans="2:22" x14ac:dyDescent="0.35"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18054-62B4-AD41-B6E8-2AFCFB4FB144}">
  <sheetPr codeName="Sheet5"/>
  <dimension ref="B2:V36"/>
  <sheetViews>
    <sheetView zoomScale="172" zoomScaleNormal="172" workbookViewId="0">
      <selection activeCell="D8" sqref="D8"/>
    </sheetView>
  </sheetViews>
  <sheetFormatPr defaultColWidth="8.81640625" defaultRowHeight="14.5" x14ac:dyDescent="0.35"/>
  <cols>
    <col min="1" max="1" width="2.6328125" customWidth="1"/>
    <col min="2" max="2" width="28.81640625" customWidth="1"/>
    <col min="3" max="3" width="1.6328125" customWidth="1"/>
    <col min="4" max="22" width="12.6328125" customWidth="1"/>
  </cols>
  <sheetData>
    <row r="2" spans="2:22" x14ac:dyDescent="0.35">
      <c r="B2" s="3" t="s">
        <v>0</v>
      </c>
      <c r="C2" s="6"/>
      <c r="D2" s="10" t="s">
        <v>87</v>
      </c>
      <c r="E2" s="10" t="s">
        <v>88</v>
      </c>
      <c r="F2" s="10" t="s">
        <v>89</v>
      </c>
      <c r="G2" s="10" t="s">
        <v>90</v>
      </c>
      <c r="H2" s="10" t="s">
        <v>91</v>
      </c>
      <c r="I2" s="10" t="s">
        <v>92</v>
      </c>
      <c r="J2" s="10" t="s">
        <v>93</v>
      </c>
      <c r="K2" s="10" t="s">
        <v>94</v>
      </c>
      <c r="L2" s="10" t="s">
        <v>95</v>
      </c>
      <c r="M2" s="10" t="s">
        <v>96</v>
      </c>
      <c r="N2" s="10" t="s">
        <v>97</v>
      </c>
      <c r="O2" s="10" t="s">
        <v>98</v>
      </c>
      <c r="P2" s="10" t="s">
        <v>99</v>
      </c>
      <c r="Q2" s="10" t="s">
        <v>117</v>
      </c>
      <c r="R2" s="10" t="s">
        <v>118</v>
      </c>
      <c r="S2" s="10" t="s">
        <v>119</v>
      </c>
      <c r="T2" s="10" t="s">
        <v>120</v>
      </c>
      <c r="U2" s="10" t="s">
        <v>121</v>
      </c>
      <c r="V2" s="10" t="s">
        <v>122</v>
      </c>
    </row>
    <row r="3" spans="2:22" x14ac:dyDescent="0.35">
      <c r="B3" s="4" t="s">
        <v>1</v>
      </c>
      <c r="C3" s="6"/>
      <c r="D3" s="6">
        <v>20</v>
      </c>
      <c r="E3">
        <v>20</v>
      </c>
      <c r="F3">
        <v>20</v>
      </c>
      <c r="G3">
        <v>20</v>
      </c>
      <c r="H3">
        <v>20</v>
      </c>
      <c r="I3">
        <v>20</v>
      </c>
      <c r="J3">
        <v>20</v>
      </c>
      <c r="K3">
        <v>20</v>
      </c>
      <c r="L3">
        <v>20</v>
      </c>
      <c r="M3">
        <v>20</v>
      </c>
      <c r="N3">
        <v>20</v>
      </c>
      <c r="O3">
        <v>20</v>
      </c>
      <c r="P3">
        <v>20</v>
      </c>
      <c r="Q3">
        <v>20</v>
      </c>
      <c r="R3">
        <v>20</v>
      </c>
      <c r="S3">
        <v>20</v>
      </c>
      <c r="T3">
        <v>20</v>
      </c>
      <c r="U3">
        <v>20</v>
      </c>
      <c r="V3">
        <v>20</v>
      </c>
    </row>
    <row r="4" spans="2:22" x14ac:dyDescent="0.35">
      <c r="B4" s="5" t="s">
        <v>2</v>
      </c>
      <c r="C4" s="6"/>
      <c r="D4" s="6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2:22" x14ac:dyDescent="0.35">
      <c r="B5" s="5" t="s">
        <v>3</v>
      </c>
      <c r="D5" s="6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  <c r="K5">
        <v>4</v>
      </c>
      <c r="L5">
        <v>4</v>
      </c>
      <c r="M5">
        <v>4</v>
      </c>
      <c r="N5">
        <v>4</v>
      </c>
      <c r="O5">
        <v>4</v>
      </c>
      <c r="P5">
        <v>4</v>
      </c>
      <c r="Q5">
        <v>4</v>
      </c>
      <c r="R5">
        <v>4</v>
      </c>
      <c r="S5">
        <v>4</v>
      </c>
      <c r="T5">
        <v>4</v>
      </c>
      <c r="U5">
        <v>4</v>
      </c>
      <c r="V5">
        <v>4</v>
      </c>
    </row>
    <row r="6" spans="2:22" x14ac:dyDescent="0.35">
      <c r="B6" s="5" t="s">
        <v>4</v>
      </c>
      <c r="C6" s="6"/>
      <c r="D6" s="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</row>
    <row r="7" spans="2:22" x14ac:dyDescent="0.35">
      <c r="B7" s="4" t="s">
        <v>5</v>
      </c>
      <c r="C7" s="6"/>
      <c r="D7" s="6">
        <v>104</v>
      </c>
      <c r="E7" s="6">
        <f>8 * CEILING(E33 * $D$7 * E34*E35 / 8, 1)</f>
        <v>40</v>
      </c>
      <c r="F7" s="6">
        <f t="shared" ref="F7:V7" si="0">8 * CEILING(F33 * $D$7 * F34*F35 / 8, 1)</f>
        <v>40</v>
      </c>
      <c r="G7" s="6">
        <f t="shared" si="0"/>
        <v>24</v>
      </c>
      <c r="H7" s="6">
        <f t="shared" si="0"/>
        <v>48</v>
      </c>
      <c r="I7" s="6">
        <f t="shared" si="0"/>
        <v>56</v>
      </c>
      <c r="J7" s="6">
        <f t="shared" si="0"/>
        <v>32</v>
      </c>
      <c r="K7" s="6">
        <f t="shared" si="0"/>
        <v>56</v>
      </c>
      <c r="L7" s="6">
        <f t="shared" si="0"/>
        <v>64</v>
      </c>
      <c r="M7" s="6">
        <f t="shared" si="0"/>
        <v>40</v>
      </c>
      <c r="N7" s="6">
        <f t="shared" si="0"/>
        <v>72</v>
      </c>
      <c r="O7" s="6">
        <f t="shared" si="0"/>
        <v>80</v>
      </c>
      <c r="P7" s="6">
        <f t="shared" si="0"/>
        <v>48</v>
      </c>
      <c r="Q7" s="6">
        <f t="shared" si="0"/>
        <v>80</v>
      </c>
      <c r="R7" s="6">
        <f t="shared" si="0"/>
        <v>88</v>
      </c>
      <c r="S7" s="6">
        <f t="shared" si="0"/>
        <v>56</v>
      </c>
      <c r="T7" s="6">
        <f t="shared" si="0"/>
        <v>88</v>
      </c>
      <c r="U7" s="6">
        <f t="shared" si="0"/>
        <v>104</v>
      </c>
      <c r="V7" s="6">
        <f t="shared" si="0"/>
        <v>64</v>
      </c>
    </row>
    <row r="8" spans="2:22" x14ac:dyDescent="0.35">
      <c r="B8" s="4" t="s">
        <v>31</v>
      </c>
      <c r="C8" s="6"/>
      <c r="D8" s="6">
        <v>13</v>
      </c>
      <c r="E8">
        <v>13</v>
      </c>
      <c r="F8">
        <v>13</v>
      </c>
      <c r="G8">
        <v>13</v>
      </c>
      <c r="H8">
        <v>13</v>
      </c>
      <c r="I8">
        <v>13</v>
      </c>
      <c r="J8">
        <v>13</v>
      </c>
      <c r="K8">
        <v>13</v>
      </c>
      <c r="L8">
        <v>13</v>
      </c>
      <c r="M8">
        <v>13</v>
      </c>
      <c r="N8">
        <v>13</v>
      </c>
      <c r="O8">
        <v>13</v>
      </c>
      <c r="P8">
        <v>13</v>
      </c>
      <c r="Q8">
        <v>13</v>
      </c>
      <c r="R8">
        <v>13</v>
      </c>
      <c r="S8">
        <v>13</v>
      </c>
      <c r="T8">
        <v>13</v>
      </c>
      <c r="U8">
        <v>13</v>
      </c>
      <c r="V8">
        <v>13</v>
      </c>
    </row>
    <row r="9" spans="2:22" x14ac:dyDescent="0.35">
      <c r="B9" s="4" t="s">
        <v>32</v>
      </c>
      <c r="C9" s="6"/>
      <c r="D9" s="6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</row>
    <row r="10" spans="2:22" x14ac:dyDescent="0.35">
      <c r="B10" s="9" t="s">
        <v>8</v>
      </c>
      <c r="C10" s="6"/>
      <c r="D10" s="6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</row>
    <row r="11" spans="2:22" x14ac:dyDescent="0.35">
      <c r="B11" s="9" t="s">
        <v>9</v>
      </c>
      <c r="C11" s="6"/>
      <c r="D11" s="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2:22" x14ac:dyDescent="0.35">
      <c r="B12" s="4" t="s">
        <v>165</v>
      </c>
      <c r="C12" s="6"/>
      <c r="D12" s="6">
        <v>2</v>
      </c>
      <c r="E12" s="6">
        <v>2</v>
      </c>
      <c r="F12" s="6">
        <v>2</v>
      </c>
      <c r="G12" s="6">
        <v>2</v>
      </c>
      <c r="H12" s="6">
        <v>2</v>
      </c>
      <c r="I12" s="6">
        <v>2</v>
      </c>
      <c r="J12" s="6">
        <v>2</v>
      </c>
      <c r="K12" s="6">
        <v>2</v>
      </c>
      <c r="L12" s="6">
        <v>2</v>
      </c>
      <c r="M12" s="6">
        <v>2</v>
      </c>
      <c r="N12" s="6">
        <v>2</v>
      </c>
      <c r="O12" s="6">
        <v>2</v>
      </c>
      <c r="P12" s="6">
        <v>2</v>
      </c>
      <c r="Q12" s="6">
        <v>2</v>
      </c>
      <c r="R12" s="6">
        <v>2</v>
      </c>
      <c r="S12" s="6">
        <v>2</v>
      </c>
      <c r="T12" s="6">
        <v>2</v>
      </c>
      <c r="U12" s="6">
        <v>2</v>
      </c>
      <c r="V12" s="6">
        <v>2</v>
      </c>
    </row>
    <row r="13" spans="2:22" x14ac:dyDescent="0.35">
      <c r="B13" s="4" t="s">
        <v>166</v>
      </c>
      <c r="C13" s="6"/>
      <c r="D13" s="6">
        <v>27</v>
      </c>
      <c r="E13">
        <v>24</v>
      </c>
      <c r="F13">
        <v>13</v>
      </c>
      <c r="G13">
        <v>7</v>
      </c>
      <c r="H13">
        <v>24</v>
      </c>
      <c r="I13">
        <v>13</v>
      </c>
      <c r="J13">
        <v>7</v>
      </c>
      <c r="K13">
        <v>24</v>
      </c>
      <c r="L13">
        <v>13</v>
      </c>
      <c r="M13">
        <v>7</v>
      </c>
      <c r="N13">
        <v>24</v>
      </c>
      <c r="O13">
        <v>13</v>
      </c>
      <c r="P13">
        <v>7</v>
      </c>
      <c r="Q13">
        <v>24</v>
      </c>
      <c r="R13">
        <v>13</v>
      </c>
      <c r="S13">
        <v>7</v>
      </c>
      <c r="T13">
        <v>24</v>
      </c>
      <c r="U13">
        <v>13</v>
      </c>
      <c r="V13">
        <v>7</v>
      </c>
    </row>
    <row r="14" spans="2:22" x14ac:dyDescent="0.35">
      <c r="B14" s="4" t="s">
        <v>12</v>
      </c>
      <c r="C14" s="6"/>
      <c r="D14" s="6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</row>
    <row r="15" spans="2:22" x14ac:dyDescent="0.35">
      <c r="B15" s="4" t="s">
        <v>13</v>
      </c>
      <c r="C15" s="6"/>
      <c r="D15" s="6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</row>
    <row r="16" spans="2:22" x14ac:dyDescent="0.35">
      <c r="B16" s="4" t="s">
        <v>14</v>
      </c>
      <c r="C16" s="6"/>
      <c r="D16" s="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</row>
    <row r="17" spans="2:22" x14ac:dyDescent="0.35">
      <c r="B17" s="4" t="s">
        <v>15</v>
      </c>
      <c r="C17" s="6"/>
      <c r="D17" s="6" t="s">
        <v>101</v>
      </c>
      <c r="E17" s="6" t="s">
        <v>101</v>
      </c>
      <c r="F17" s="6" t="s">
        <v>101</v>
      </c>
      <c r="G17" s="6" t="s">
        <v>101</v>
      </c>
      <c r="H17" s="6" t="s">
        <v>101</v>
      </c>
      <c r="I17" s="6" t="s">
        <v>101</v>
      </c>
      <c r="J17" s="6" t="s">
        <v>101</v>
      </c>
      <c r="K17" s="6" t="s">
        <v>101</v>
      </c>
      <c r="L17" s="6" t="s">
        <v>101</v>
      </c>
      <c r="M17" s="6" t="s">
        <v>101</v>
      </c>
      <c r="N17" s="6" t="s">
        <v>101</v>
      </c>
      <c r="O17" s="6" t="s">
        <v>101</v>
      </c>
      <c r="P17" s="6" t="s">
        <v>101</v>
      </c>
      <c r="Q17" s="6" t="s">
        <v>101</v>
      </c>
      <c r="R17" s="6" t="s">
        <v>101</v>
      </c>
      <c r="S17" s="6" t="s">
        <v>101</v>
      </c>
      <c r="T17" s="6" t="s">
        <v>101</v>
      </c>
      <c r="U17" s="6" t="s">
        <v>101</v>
      </c>
      <c r="V17" s="6" t="s">
        <v>101</v>
      </c>
    </row>
    <row r="18" spans="2:22" x14ac:dyDescent="0.35">
      <c r="B18" s="9" t="s">
        <v>16</v>
      </c>
      <c r="C18" s="6"/>
      <c r="D18" s="6" t="s">
        <v>17</v>
      </c>
      <c r="E18" s="6" t="s">
        <v>17</v>
      </c>
      <c r="F18" s="6" t="s">
        <v>17</v>
      </c>
      <c r="G18" s="6" t="s">
        <v>17</v>
      </c>
      <c r="H18" s="6" t="s">
        <v>17</v>
      </c>
      <c r="I18" s="6" t="s">
        <v>17</v>
      </c>
      <c r="J18" s="6" t="s">
        <v>17</v>
      </c>
      <c r="K18" s="6" t="s">
        <v>17</v>
      </c>
      <c r="L18" s="6" t="s">
        <v>17</v>
      </c>
      <c r="M18" s="6" t="s">
        <v>17</v>
      </c>
      <c r="N18" s="6" t="s">
        <v>17</v>
      </c>
      <c r="O18" s="6" t="s">
        <v>17</v>
      </c>
      <c r="P18" s="6" t="s">
        <v>17</v>
      </c>
      <c r="Q18" s="6" t="s">
        <v>17</v>
      </c>
      <c r="R18" s="6" t="s">
        <v>17</v>
      </c>
      <c r="S18" s="6" t="s">
        <v>17</v>
      </c>
      <c r="T18" s="6" t="s">
        <v>17</v>
      </c>
      <c r="U18" s="6" t="s">
        <v>17</v>
      </c>
      <c r="V18" s="6" t="s">
        <v>17</v>
      </c>
    </row>
    <row r="19" spans="2:22" x14ac:dyDescent="0.35">
      <c r="B19" s="4" t="s">
        <v>18</v>
      </c>
      <c r="C19" s="6"/>
      <c r="D19" s="6" t="s">
        <v>17</v>
      </c>
      <c r="E19" s="6" t="s">
        <v>17</v>
      </c>
      <c r="F19" s="6" t="s">
        <v>17</v>
      </c>
      <c r="G19" s="6" t="s">
        <v>17</v>
      </c>
      <c r="H19" s="6" t="s">
        <v>17</v>
      </c>
      <c r="I19" s="6" t="s">
        <v>17</v>
      </c>
      <c r="J19" s="6" t="s">
        <v>17</v>
      </c>
      <c r="K19" s="6" t="s">
        <v>17</v>
      </c>
      <c r="L19" s="6" t="s">
        <v>17</v>
      </c>
      <c r="M19" s="6" t="s">
        <v>17</v>
      </c>
      <c r="N19" s="6" t="s">
        <v>17</v>
      </c>
      <c r="O19" s="6" t="s">
        <v>17</v>
      </c>
      <c r="P19" s="6" t="s">
        <v>17</v>
      </c>
      <c r="Q19" s="6" t="s">
        <v>17</v>
      </c>
      <c r="R19" s="6" t="s">
        <v>17</v>
      </c>
      <c r="S19" s="6" t="s">
        <v>17</v>
      </c>
      <c r="T19" s="6" t="s">
        <v>17</v>
      </c>
      <c r="U19" s="6" t="s">
        <v>17</v>
      </c>
      <c r="V19" s="6" t="s">
        <v>17</v>
      </c>
    </row>
    <row r="20" spans="2:22" x14ac:dyDescent="0.35">
      <c r="B20" s="4" t="s">
        <v>19</v>
      </c>
      <c r="C20" s="6"/>
      <c r="D20" s="6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</row>
    <row r="21" spans="2:22" x14ac:dyDescent="0.35">
      <c r="B21" s="2" t="s">
        <v>20</v>
      </c>
      <c r="C21" s="6"/>
      <c r="D21" s="8"/>
      <c r="E21" s="8"/>
      <c r="F21" s="8"/>
      <c r="G21" s="8"/>
      <c r="H21" s="8"/>
      <c r="I21" s="11"/>
      <c r="J21" s="11"/>
      <c r="K21" s="11"/>
      <c r="L21" s="11"/>
      <c r="M21" s="11"/>
      <c r="N21" s="11"/>
      <c r="O21" s="11"/>
      <c r="P21" s="8"/>
      <c r="Q21" s="11"/>
      <c r="R21" s="11"/>
      <c r="S21" s="8"/>
      <c r="T21" s="11"/>
      <c r="U21" s="11"/>
      <c r="V21" s="8"/>
    </row>
    <row r="22" spans="2:22" x14ac:dyDescent="0.35">
      <c r="B22" s="7" t="s">
        <v>21</v>
      </c>
      <c r="C22" s="6"/>
      <c r="D22" s="6" t="s">
        <v>22</v>
      </c>
      <c r="E22" s="6" t="s">
        <v>22</v>
      </c>
      <c r="F22" s="6" t="s">
        <v>22</v>
      </c>
      <c r="G22" s="6" t="s">
        <v>22</v>
      </c>
      <c r="H22" s="6" t="s">
        <v>22</v>
      </c>
      <c r="I22" s="6" t="s">
        <v>22</v>
      </c>
      <c r="J22" s="6" t="s">
        <v>22</v>
      </c>
      <c r="K22" s="6" t="s">
        <v>22</v>
      </c>
      <c r="L22" s="6" t="s">
        <v>22</v>
      </c>
      <c r="M22" s="6" t="s">
        <v>22</v>
      </c>
      <c r="N22" s="6" t="s">
        <v>22</v>
      </c>
      <c r="O22" s="6" t="s">
        <v>22</v>
      </c>
      <c r="P22" s="6" t="s">
        <v>22</v>
      </c>
      <c r="Q22" s="6" t="s">
        <v>22</v>
      </c>
      <c r="R22" s="6" t="s">
        <v>22</v>
      </c>
      <c r="S22" s="6" t="s">
        <v>22</v>
      </c>
      <c r="T22" s="6" t="s">
        <v>22</v>
      </c>
      <c r="U22" s="6" t="s">
        <v>22</v>
      </c>
      <c r="V22" s="6" t="s">
        <v>22</v>
      </c>
    </row>
    <row r="23" spans="2:22" x14ac:dyDescent="0.35">
      <c r="B23" s="7" t="s">
        <v>23</v>
      </c>
      <c r="C23" s="6"/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</row>
    <row r="24" spans="2:22" x14ac:dyDescent="0.35">
      <c r="B24" s="7" t="s">
        <v>24</v>
      </c>
      <c r="C24" s="6"/>
      <c r="D24" s="6" t="s">
        <v>25</v>
      </c>
      <c r="E24" s="6" t="s">
        <v>25</v>
      </c>
      <c r="F24" s="6" t="s">
        <v>25</v>
      </c>
      <c r="G24" s="6" t="s">
        <v>25</v>
      </c>
      <c r="H24" s="6" t="s">
        <v>25</v>
      </c>
      <c r="I24" s="6" t="s">
        <v>25</v>
      </c>
      <c r="J24" s="6" t="s">
        <v>25</v>
      </c>
      <c r="K24" s="6" t="s">
        <v>25</v>
      </c>
      <c r="L24" s="6" t="s">
        <v>25</v>
      </c>
      <c r="M24" s="6" t="s">
        <v>25</v>
      </c>
      <c r="N24" s="6" t="s">
        <v>25</v>
      </c>
      <c r="O24" s="6" t="s">
        <v>25</v>
      </c>
      <c r="P24" s="6" t="s">
        <v>25</v>
      </c>
      <c r="Q24" s="6" t="s">
        <v>25</v>
      </c>
      <c r="R24" s="6" t="s">
        <v>25</v>
      </c>
      <c r="S24" s="6" t="s">
        <v>25</v>
      </c>
      <c r="T24" s="6" t="s">
        <v>25</v>
      </c>
      <c r="U24" s="6" t="s">
        <v>25</v>
      </c>
      <c r="V24" s="6" t="s">
        <v>25</v>
      </c>
    </row>
    <row r="25" spans="2:22" x14ac:dyDescent="0.35">
      <c r="B25" s="2" t="s">
        <v>26</v>
      </c>
      <c r="C25" s="6"/>
      <c r="D25" s="8"/>
      <c r="E25" s="8"/>
      <c r="F25" s="8"/>
      <c r="G25" s="8"/>
      <c r="H25" s="8"/>
      <c r="I25" s="11"/>
      <c r="J25" s="11"/>
      <c r="K25" s="11"/>
      <c r="L25" s="11"/>
      <c r="M25" s="11"/>
      <c r="N25" s="11"/>
      <c r="O25" s="11"/>
      <c r="P25" s="8"/>
      <c r="Q25" s="11"/>
      <c r="R25" s="11"/>
      <c r="S25" s="8"/>
      <c r="T25" s="11"/>
      <c r="U25" s="11"/>
      <c r="V25" s="8"/>
    </row>
    <row r="26" spans="2:22" x14ac:dyDescent="0.35">
      <c r="B26" s="14" t="s">
        <v>10</v>
      </c>
      <c r="C26" s="6"/>
      <c r="D26" s="6" cm="1">
        <f t="array" ref="D26">Comm_MCS_ModOrd(D12,D13)</f>
        <v>8</v>
      </c>
      <c r="E26" s="6" cm="1">
        <f t="array" ref="E26">Comm_MCS_ModOrd(E12,E13)</f>
        <v>8</v>
      </c>
      <c r="F26" s="6" cm="1">
        <f t="array" ref="F26">Comm_MCS_ModOrd(F12,F13)</f>
        <v>6</v>
      </c>
      <c r="G26" s="6" cm="1">
        <f t="array" ref="G26">Comm_MCS_ModOrd(G12,G13)</f>
        <v>4</v>
      </c>
      <c r="H26" s="6" cm="1">
        <f t="array" ref="H26">Comm_MCS_ModOrd(H12,H13)</f>
        <v>8</v>
      </c>
      <c r="I26" s="6" cm="1">
        <f t="array" ref="I26">Comm_MCS_ModOrd(I12,I13)</f>
        <v>6</v>
      </c>
      <c r="J26" s="6" cm="1">
        <f t="array" ref="J26">Comm_MCS_ModOrd(J12,J13)</f>
        <v>4</v>
      </c>
      <c r="K26" s="6" cm="1">
        <f t="array" ref="K26">Comm_MCS_ModOrd(K12,K13)</f>
        <v>8</v>
      </c>
      <c r="L26" s="6" cm="1">
        <f t="array" ref="L26">Comm_MCS_ModOrd(L12,L13)</f>
        <v>6</v>
      </c>
      <c r="M26" s="6" cm="1">
        <f t="array" ref="M26">Comm_MCS_ModOrd(M12,M13)</f>
        <v>4</v>
      </c>
      <c r="N26" s="6" cm="1">
        <f t="array" ref="N26">Comm_MCS_ModOrd(N12,N13)</f>
        <v>8</v>
      </c>
      <c r="O26" s="6" cm="1">
        <f t="array" ref="O26">Comm_MCS_ModOrd(O12,O13)</f>
        <v>6</v>
      </c>
      <c r="P26" s="6" cm="1">
        <f t="array" ref="P26">Comm_MCS_ModOrd(P12,P13)</f>
        <v>4</v>
      </c>
      <c r="Q26" s="6" cm="1">
        <f t="array" ref="Q26">Comm_MCS_ModOrd(Q12,Q13)</f>
        <v>8</v>
      </c>
      <c r="R26" s="6" cm="1">
        <f t="array" ref="R26">Comm_MCS_ModOrd(R12,R13)</f>
        <v>6</v>
      </c>
      <c r="S26" s="6" cm="1">
        <f t="array" ref="S26">Comm_MCS_ModOrd(S12,S13)</f>
        <v>4</v>
      </c>
      <c r="T26" s="6" cm="1">
        <f t="array" ref="T26">Comm_MCS_ModOrd(T12,T13)</f>
        <v>8</v>
      </c>
      <c r="U26" s="6" cm="1">
        <f t="array" ref="U26">Comm_MCS_ModOrd(U12,U13)</f>
        <v>6</v>
      </c>
      <c r="V26" s="6" cm="1">
        <f t="array" ref="V26">Comm_MCS_ModOrd(V12,V13)</f>
        <v>4</v>
      </c>
    </row>
    <row r="27" spans="2:22" x14ac:dyDescent="0.35">
      <c r="B27" s="14" t="s">
        <v>11</v>
      </c>
      <c r="C27" s="6"/>
      <c r="D27" s="6" cm="1">
        <f t="array" ref="D27">Comm_MCS_CodeRate(D12,D13)</f>
        <v>948</v>
      </c>
      <c r="E27" s="6" cm="1">
        <f t="array" ref="E27">Comm_MCS_CodeRate(E12,E13)</f>
        <v>841</v>
      </c>
      <c r="F27" s="6" cm="1">
        <f t="array" ref="F27">Comm_MCS_CodeRate(F12,F13)</f>
        <v>567</v>
      </c>
      <c r="G27" s="6" cm="1">
        <f t="array" ref="G27">Comm_MCS_CodeRate(G12,G13)</f>
        <v>490</v>
      </c>
      <c r="H27" s="6" cm="1">
        <f t="array" ref="H27">Comm_MCS_CodeRate(H12,H13)</f>
        <v>841</v>
      </c>
      <c r="I27" s="6" cm="1">
        <f t="array" ref="I27">Comm_MCS_CodeRate(I12,I13)</f>
        <v>567</v>
      </c>
      <c r="J27" s="6" cm="1">
        <f t="array" ref="J27">Comm_MCS_CodeRate(J12,J13)</f>
        <v>490</v>
      </c>
      <c r="K27" s="6" cm="1">
        <f t="array" ref="K27">Comm_MCS_CodeRate(K12,K13)</f>
        <v>841</v>
      </c>
      <c r="L27" s="6" cm="1">
        <f t="array" ref="L27">Comm_MCS_CodeRate(L12,L13)</f>
        <v>567</v>
      </c>
      <c r="M27" s="6" cm="1">
        <f t="array" ref="M27">Comm_MCS_CodeRate(M12,M13)</f>
        <v>490</v>
      </c>
      <c r="N27" s="6" cm="1">
        <f t="array" ref="N27">Comm_MCS_CodeRate(N12,N13)</f>
        <v>841</v>
      </c>
      <c r="O27" s="6" cm="1">
        <f t="array" ref="O27">Comm_MCS_CodeRate(O12,O13)</f>
        <v>567</v>
      </c>
      <c r="P27" s="6" cm="1">
        <f t="array" ref="P27">Comm_MCS_CodeRate(P12,P13)</f>
        <v>490</v>
      </c>
      <c r="Q27" s="6" cm="1">
        <f t="array" ref="Q27">Comm_MCS_CodeRate(Q12,Q13)</f>
        <v>841</v>
      </c>
      <c r="R27" s="6" cm="1">
        <f t="array" ref="R27">Comm_MCS_CodeRate(R12,R13)</f>
        <v>567</v>
      </c>
      <c r="S27" s="6" cm="1">
        <f t="array" ref="S27">Comm_MCS_CodeRate(S12,S13)</f>
        <v>490</v>
      </c>
      <c r="T27" s="6" cm="1">
        <f t="array" ref="T27">Comm_MCS_CodeRate(T12,T13)</f>
        <v>841</v>
      </c>
      <c r="U27" s="6" cm="1">
        <f t="array" ref="U27">Comm_MCS_CodeRate(U12,U13)</f>
        <v>567</v>
      </c>
      <c r="V27" s="6" cm="1">
        <f t="array" ref="V27">Comm_MCS_CodeRate(V12,V13)</f>
        <v>490</v>
      </c>
    </row>
    <row r="28" spans="2:22" x14ac:dyDescent="0.35">
      <c r="B28" s="1" t="s">
        <v>27</v>
      </c>
      <c r="C28" s="6"/>
      <c r="D28" s="6" cm="1">
        <f t="array" ref="D28">Comm_Z(D7, D26, D27, D8, D9, D6/D15)</f>
        <v>384</v>
      </c>
      <c r="E28" s="6" cm="1">
        <f t="array" ref="E28">Comm_Z(E7, E26, E27, E8, E9, E6/E15)</f>
        <v>352</v>
      </c>
      <c r="F28" s="6" cm="1">
        <f t="array" ref="F28">Comm_Z(F7, F26, F27, F8, F9, F6/F15)</f>
        <v>320</v>
      </c>
      <c r="G28" s="6" cm="1">
        <f t="array" ref="G28">Comm_Z(G7, G26, G27, G8, G9, G6/G15)</f>
        <v>320</v>
      </c>
      <c r="H28" s="6" cm="1">
        <f t="array" ref="H28">Comm_Z(H7, H26, H27, H8, H9, H6/H15)</f>
        <v>352</v>
      </c>
      <c r="I28" s="6" cm="1">
        <f t="array" ref="I28">Comm_Z(I7, I26, I27, I8, I9, I6/I15)</f>
        <v>320</v>
      </c>
      <c r="J28" s="6" cm="1">
        <f t="array" ref="J28">Comm_Z(J7, J26, J27, J8, J9, J6/J15)</f>
        <v>208</v>
      </c>
      <c r="K28" s="6" cm="1">
        <f t="array" ref="K28">Comm_Z(K7, K26, K27, K8, K9, K6/K15)</f>
        <v>352</v>
      </c>
      <c r="L28" s="6" cm="1">
        <f t="array" ref="L28">Comm_Z(L7, L26, L27, L8, L9, L6/L15)</f>
        <v>352</v>
      </c>
      <c r="M28" s="6" cm="1">
        <f t="array" ref="M28">Comm_Z(M7, M26, M27, M8, M9, M6/M15)</f>
        <v>256</v>
      </c>
      <c r="N28" s="6" cm="1">
        <f t="array" ref="N28">Comm_Z(N7, N26, N27, N8, N9, N6/N15)</f>
        <v>352</v>
      </c>
      <c r="O28" s="6" cm="1">
        <f t="array" ref="O28">Comm_Z(O7, O26, O27, O8, O9, O6/O15)</f>
        <v>352</v>
      </c>
      <c r="P28" s="6" cm="1">
        <f t="array" ref="P28">Comm_Z(P7, P26, P27, P8, P9, P6/P15)</f>
        <v>320</v>
      </c>
      <c r="Q28" s="6" cm="1">
        <f t="array" ref="Q28">Comm_Z(Q7, Q26, Q27, Q8, Q9, Q6/Q15)</f>
        <v>384</v>
      </c>
      <c r="R28" s="6" cm="1">
        <f t="array" ref="R28">Comm_Z(R7, R26, R27, R8, R9, R6/R15)</f>
        <v>384</v>
      </c>
      <c r="S28" s="6" cm="1">
        <f t="array" ref="S28">Comm_Z(S7, S26, S27, S8, S9, S6/S15)</f>
        <v>352</v>
      </c>
      <c r="T28" s="6" cm="1">
        <f t="array" ref="T28">Comm_Z(T7, T26, T27, T8, T9, T6/T15)</f>
        <v>384</v>
      </c>
      <c r="U28" s="6" cm="1">
        <f t="array" ref="U28">Comm_Z(U7, U26, U27, U8, U9, U6/U15)</f>
        <v>384</v>
      </c>
      <c r="V28" s="6" cm="1">
        <f t="array" ref="V28">Comm_Z(V7, V26, V27, V8, V9, V6/V15)</f>
        <v>288</v>
      </c>
    </row>
    <row r="29" spans="2:22" x14ac:dyDescent="0.35">
      <c r="B29" s="1" t="s">
        <v>28</v>
      </c>
      <c r="C29" s="6"/>
      <c r="D29" s="6" cm="1">
        <f t="array" ref="D29">Comm_TBS(D7, D26, D27, D8, D9, D6/D15)</f>
        <v>110632</v>
      </c>
      <c r="E29" s="6" cm="1">
        <f t="array" ref="E29">Comm_TBS(E7, E26, E27, E8, E9, E6/E15)</f>
        <v>37896</v>
      </c>
      <c r="F29" s="6" cm="1">
        <f t="array" ref="F29">Comm_TBS(F7, F26, F27, F8, F9, F6/F15)</f>
        <v>18960</v>
      </c>
      <c r="G29" s="6" cm="1">
        <f t="array" ref="G29">Comm_TBS(G7, G26, G27, G8, G9, G6/G15)</f>
        <v>6528</v>
      </c>
      <c r="H29" s="6" cm="1">
        <f t="array" ref="H29">Comm_TBS(H7, H26, H27, H8, H9, H6/H15)</f>
        <v>45096</v>
      </c>
      <c r="I29" s="6" cm="1">
        <f t="array" ref="I29">Comm_TBS(I7, I26, I27, I8, I9, I6/I15)</f>
        <v>26632</v>
      </c>
      <c r="J29" s="6" cm="1">
        <f t="array" ref="J29">Comm_TBS(J7, J26, J27, J8, J9, J6/J15)</f>
        <v>8712</v>
      </c>
      <c r="K29" s="6" cm="1">
        <f t="array" ref="K29">Comm_TBS(K7, K26, K27, K8, K9, K6/K15)</f>
        <v>53288</v>
      </c>
      <c r="L29" s="6" cm="1">
        <f t="array" ref="L29">Comm_TBS(L7, L26, L27, L8, L9, L6/L15)</f>
        <v>30728</v>
      </c>
      <c r="M29" s="6" cm="1">
        <f t="array" ref="M29">Comm_TBS(M7, M26, M27, M8, M9, M6/M15)</f>
        <v>11016</v>
      </c>
      <c r="N29" s="6" cm="1">
        <f t="array" ref="N29">Comm_TBS(N7, N26, N27, N8, N9, N6/N15)</f>
        <v>67584</v>
      </c>
      <c r="O29" s="6" cm="1">
        <f t="array" ref="O29">Comm_TBS(O7, O26, O27, O8, O9, O6/O15)</f>
        <v>37896</v>
      </c>
      <c r="P29" s="6" cm="1">
        <f t="array" ref="P29">Comm_TBS(P7, P26, P27, P8, P9, P6/P15)</f>
        <v>13320</v>
      </c>
      <c r="Q29" s="6" cm="1">
        <f t="array" ref="Q29">Comm_TBS(Q7, Q26, Q27, Q8, Q9, Q6/Q15)</f>
        <v>75792</v>
      </c>
      <c r="R29" s="6" cm="1">
        <f t="array" ref="R29">Comm_TBS(R7, R26, R27, R8, R9, R6/R15)</f>
        <v>42016</v>
      </c>
      <c r="S29" s="6" cm="1">
        <f t="array" ref="S29">Comm_TBS(S7, S26, S27, S8, S9, S6/S15)</f>
        <v>15368</v>
      </c>
      <c r="T29" s="6" cm="1">
        <f t="array" ref="T29">Comm_TBS(T7, T26, T27, T8, T9, T6/T15)</f>
        <v>83976</v>
      </c>
      <c r="U29" s="6" cm="1">
        <f t="array" ref="U29">Comm_TBS(U7, U26, U27, U8, U9, U6/U15)</f>
        <v>50184</v>
      </c>
      <c r="V29" s="6" cm="1">
        <f t="array" ref="V29">Comm_TBS(V7, V26, V27, V8, V9, V6/V15)</f>
        <v>17424</v>
      </c>
    </row>
    <row r="30" spans="2:22" x14ac:dyDescent="0.35">
      <c r="B30" s="1" t="s">
        <v>29</v>
      </c>
      <c r="C30" s="6"/>
      <c r="D30" s="6" cm="1">
        <f t="array" ref="D30">Comm_CB(D7, D26, D27, D8, D9, D6/D15)</f>
        <v>14</v>
      </c>
      <c r="E30" s="6" cm="1">
        <f t="array" ref="E30">Comm_CB(E7, E26, E27, E8, E9, E6/E15)</f>
        <v>5</v>
      </c>
      <c r="F30" s="6" cm="1">
        <f t="array" ref="F30">Comm_CB(F7, F26, F27, F8, F9, F6/F15)</f>
        <v>3</v>
      </c>
      <c r="G30" s="6" cm="1">
        <f t="array" ref="G30">Comm_CB(G7, G26, G27, G8, G9, G6/G15)</f>
        <v>1</v>
      </c>
      <c r="H30" s="6" cm="1">
        <f t="array" ref="H30">Comm_CB(H7, H26, H27, H8, H9, H6/H15)</f>
        <v>6</v>
      </c>
      <c r="I30" s="6" cm="1">
        <f t="array" ref="I30">Comm_CB(I7, I26, I27, I8, I9, I6/I15)</f>
        <v>4</v>
      </c>
      <c r="J30" s="6" cm="1">
        <f t="array" ref="J30">Comm_CB(J7, J26, J27, J8, J9, J6/J15)</f>
        <v>2</v>
      </c>
      <c r="K30" s="6" cm="1">
        <f t="array" ref="K30">Comm_CB(K7, K26, K27, K8, K9, K6/K15)</f>
        <v>7</v>
      </c>
      <c r="L30" s="6" cm="1">
        <f t="array" ref="L30">Comm_CB(L7, L26, L27, L8, L9, L6/L15)</f>
        <v>4</v>
      </c>
      <c r="M30" s="6" cm="1">
        <f t="array" ref="M30">Comm_CB(M7, M26, M27, M8, M9, M6/M15)</f>
        <v>2</v>
      </c>
      <c r="N30" s="6" cm="1">
        <f t="array" ref="N30">Comm_CB(N7, N26, N27, N8, N9, N6/N15)</f>
        <v>9</v>
      </c>
      <c r="O30" s="6" cm="1">
        <f t="array" ref="O30">Comm_CB(O7, O26, O27, O8, O9, O6/O15)</f>
        <v>5</v>
      </c>
      <c r="P30" s="6" cm="1">
        <f t="array" ref="P30">Comm_CB(P7, P26, P27, P8, P9, P6/P15)</f>
        <v>2</v>
      </c>
      <c r="Q30" s="6" cm="1">
        <f t="array" ref="Q30">Comm_CB(Q7, Q26, Q27, Q8, Q9, Q6/Q15)</f>
        <v>9</v>
      </c>
      <c r="R30" s="6" cm="1">
        <f t="array" ref="R30">Comm_CB(R7, R26, R27, R8, R9, R6/R15)</f>
        <v>5</v>
      </c>
      <c r="S30" s="6" cm="1">
        <f t="array" ref="S30">Comm_CB(S7, S26, S27, S8, S9, S6/S15)</f>
        <v>2</v>
      </c>
      <c r="T30" s="6" cm="1">
        <f t="array" ref="T30">Comm_CB(T7, T26, T27, T8, T9, T6/T15)</f>
        <v>10</v>
      </c>
      <c r="U30" s="6" cm="1">
        <f t="array" ref="U30">Comm_CB(U7, U26, U27, U8, U9, U6/U15)</f>
        <v>6</v>
      </c>
      <c r="V30" s="6" cm="1">
        <f t="array" ref="V30">Comm_CB(V7, V26, V27, V8, V9, V6/V15)</f>
        <v>3</v>
      </c>
    </row>
    <row r="31" spans="2:22" x14ac:dyDescent="0.35">
      <c r="B31" s="1" t="s">
        <v>30</v>
      </c>
      <c r="D31" s="6" cm="1">
        <f t="array" ref="D31">Comm_Parity_Nodes(D7, D26, D27, D8, D9, D6/D15)</f>
        <v>4</v>
      </c>
      <c r="E31" s="6" cm="1">
        <f t="array" ref="E31">Comm_Parity_Nodes(E7, E26, E27, E8, E9, E6/E15)</f>
        <v>7</v>
      </c>
      <c r="F31" s="6" cm="1">
        <f t="array" ref="F31">Comm_Parity_Nodes(F7, F26, F27, F8, F9, F6/F15)</f>
        <v>19</v>
      </c>
      <c r="G31" s="6" cm="1">
        <f t="array" ref="G31">Comm_Parity_Nodes(G7, G26, G27, G8, G9, G6/G15)</f>
        <v>25</v>
      </c>
      <c r="H31" s="6" cm="1">
        <f t="array" ref="H31">Comm_Parity_Nodes(H7, H26, H27, H8, H9, H6/H15)</f>
        <v>7</v>
      </c>
      <c r="I31" s="6" cm="1">
        <f t="array" ref="I31">Comm_Parity_Nodes(I7, I26, I27, I8, I9, I6/I15)</f>
        <v>19</v>
      </c>
      <c r="J31" s="6" cm="1">
        <f t="array" ref="J31">Comm_Parity_Nodes(J7, J26, J27, J8, J9, J6/J15)</f>
        <v>26</v>
      </c>
      <c r="K31" s="6" cm="1">
        <f t="array" ref="K31">Comm_Parity_Nodes(K7, K26, K27, K8, K9, K6/K15)</f>
        <v>7</v>
      </c>
      <c r="L31" s="6" cm="1">
        <f t="array" ref="L31">Comm_Parity_Nodes(L7, L26, L27, L8, L9, L6/L15)</f>
        <v>20</v>
      </c>
      <c r="M31" s="6" cm="1">
        <f t="array" ref="M31">Comm_Parity_Nodes(M7, M26, M27, M8, M9, M6/M15)</f>
        <v>26</v>
      </c>
      <c r="N31" s="6" cm="1">
        <f t="array" ref="N31">Comm_Parity_Nodes(N7, N26, N27, N8, N9, N6/N15)</f>
        <v>7</v>
      </c>
      <c r="O31" s="6" cm="1">
        <f t="array" ref="O31">Comm_Parity_Nodes(O7, O26, O27, O8, O9, O6/O15)</f>
        <v>20</v>
      </c>
      <c r="P31" s="6" cm="1">
        <f t="array" ref="P31">Comm_Parity_Nodes(P7, P26, P27, P8, P9, P6/P15)</f>
        <v>25</v>
      </c>
      <c r="Q31" s="6" cm="1">
        <f t="array" ref="Q31">Comm_Parity_Nodes(Q7, Q26, Q27, Q8, Q9, Q6/Q15)</f>
        <v>7</v>
      </c>
      <c r="R31" s="6" cm="1">
        <f t="array" ref="R31">Comm_Parity_Nodes(R7, R26, R27, R8, R9, R6/R15)</f>
        <v>20</v>
      </c>
      <c r="S31" s="6" cm="1">
        <f t="array" ref="S31">Comm_Parity_Nodes(S7, S26, S27, S8, S9, S6/S15)</f>
        <v>26</v>
      </c>
      <c r="T31" s="6" cm="1">
        <f t="array" ref="T31">Comm_Parity_Nodes(T7, T26, T27, T8, T9, T6/T15)</f>
        <v>7</v>
      </c>
      <c r="U31" s="6" cm="1">
        <f t="array" ref="U31">Comm_Parity_Nodes(U7, U26, U27, U8, U9, U6/U15)</f>
        <v>20</v>
      </c>
      <c r="V31" s="6" cm="1">
        <f t="array" ref="V31">Comm_Parity_Nodes(V7, V26, V27, V8, V9, V6/V15)</f>
        <v>25</v>
      </c>
    </row>
    <row r="33" spans="2:22" x14ac:dyDescent="0.35">
      <c r="B33" s="1" t="s">
        <v>102</v>
      </c>
      <c r="D33" s="6"/>
      <c r="E33" s="6">
        <v>3</v>
      </c>
      <c r="F33" s="6">
        <v>3</v>
      </c>
      <c r="G33" s="6">
        <v>3</v>
      </c>
      <c r="H33" s="6">
        <v>4</v>
      </c>
      <c r="I33" s="6">
        <v>4</v>
      </c>
      <c r="J33" s="6">
        <v>4</v>
      </c>
      <c r="K33" s="6">
        <v>5</v>
      </c>
      <c r="L33" s="6">
        <v>5</v>
      </c>
      <c r="M33" s="6">
        <v>5</v>
      </c>
      <c r="N33" s="6">
        <v>6</v>
      </c>
      <c r="O33" s="6">
        <v>6</v>
      </c>
      <c r="P33" s="6">
        <v>6</v>
      </c>
      <c r="Q33" s="6">
        <v>7</v>
      </c>
      <c r="R33" s="6">
        <v>7</v>
      </c>
      <c r="S33" s="6">
        <v>7</v>
      </c>
      <c r="T33" s="6">
        <v>8</v>
      </c>
      <c r="U33" s="6">
        <v>8</v>
      </c>
      <c r="V33" s="6">
        <v>8</v>
      </c>
    </row>
    <row r="34" spans="2:22" x14ac:dyDescent="0.35">
      <c r="B34" s="1" t="s">
        <v>103</v>
      </c>
      <c r="D34" s="6"/>
      <c r="E34" s="6">
        <v>0.3</v>
      </c>
      <c r="F34" s="6">
        <v>0.3</v>
      </c>
      <c r="G34" s="6">
        <v>0.3</v>
      </c>
      <c r="H34" s="6">
        <v>0.3</v>
      </c>
      <c r="I34" s="6">
        <v>0.3</v>
      </c>
      <c r="J34" s="6">
        <v>0.3</v>
      </c>
      <c r="K34" s="6">
        <v>0.3</v>
      </c>
      <c r="L34" s="6">
        <v>0.3</v>
      </c>
      <c r="M34" s="6">
        <v>0.3</v>
      </c>
      <c r="N34" s="6">
        <v>0.3</v>
      </c>
      <c r="O34" s="6">
        <v>0.3</v>
      </c>
      <c r="P34" s="6">
        <v>0.3</v>
      </c>
      <c r="Q34" s="6">
        <v>0.3</v>
      </c>
      <c r="R34" s="6">
        <v>0.3</v>
      </c>
      <c r="S34" s="6">
        <v>0.3</v>
      </c>
      <c r="T34" s="6">
        <v>0.3</v>
      </c>
      <c r="U34" s="6">
        <v>0.3</v>
      </c>
      <c r="V34" s="6">
        <v>0.3</v>
      </c>
    </row>
    <row r="35" spans="2:22" x14ac:dyDescent="0.35">
      <c r="B35" s="1" t="s">
        <v>104</v>
      </c>
      <c r="D35" s="6"/>
      <c r="E35" s="6">
        <v>0.35</v>
      </c>
      <c r="F35" s="6">
        <v>0.4</v>
      </c>
      <c r="G35">
        <v>0.25</v>
      </c>
      <c r="H35" s="6">
        <v>0.35</v>
      </c>
      <c r="I35" s="6">
        <v>0.4</v>
      </c>
      <c r="J35">
        <v>0.25</v>
      </c>
      <c r="K35" s="6">
        <v>0.35</v>
      </c>
      <c r="L35" s="6">
        <v>0.4</v>
      </c>
      <c r="M35">
        <v>0.25</v>
      </c>
      <c r="N35" s="6">
        <v>0.35</v>
      </c>
      <c r="O35" s="6">
        <v>0.4</v>
      </c>
      <c r="P35">
        <v>0.25</v>
      </c>
      <c r="Q35" s="6">
        <v>0.35</v>
      </c>
      <c r="R35" s="6">
        <v>0.4</v>
      </c>
      <c r="S35">
        <v>0.25</v>
      </c>
      <c r="T35" s="6">
        <v>0.35</v>
      </c>
      <c r="U35" s="6">
        <v>0.4</v>
      </c>
      <c r="V35">
        <v>0.25</v>
      </c>
    </row>
    <row r="36" spans="2:22" x14ac:dyDescent="0.35">
      <c r="B36" s="12" t="s">
        <v>145</v>
      </c>
      <c r="D36" s="13" t="s">
        <v>146</v>
      </c>
      <c r="E36" s="13" t="s">
        <v>147</v>
      </c>
      <c r="F36" s="13" t="s">
        <v>148</v>
      </c>
      <c r="G36" s="13" t="s">
        <v>149</v>
      </c>
      <c r="H36" s="13" t="s">
        <v>150</v>
      </c>
      <c r="I36" s="13" t="s">
        <v>151</v>
      </c>
      <c r="J36" s="13" t="s">
        <v>152</v>
      </c>
      <c r="K36" s="13" t="s">
        <v>153</v>
      </c>
      <c r="L36" s="13" t="s">
        <v>154</v>
      </c>
      <c r="M36" s="13" t="s">
        <v>155</v>
      </c>
      <c r="N36" s="13" t="s">
        <v>156</v>
      </c>
      <c r="O36" s="13" t="s">
        <v>157</v>
      </c>
      <c r="P36" s="13" t="s">
        <v>158</v>
      </c>
      <c r="Q36" s="13" t="s">
        <v>159</v>
      </c>
      <c r="R36" s="13" t="s">
        <v>160</v>
      </c>
      <c r="S36" s="13" t="s">
        <v>161</v>
      </c>
      <c r="T36" s="13" t="s">
        <v>162</v>
      </c>
      <c r="U36" s="13" t="s">
        <v>163</v>
      </c>
      <c r="V36" s="13" t="s">
        <v>164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69631-31C7-6043-9B7A-0FB4EA979C11}">
  <sheetPr codeName="Sheet3"/>
  <dimension ref="B1:Y36"/>
  <sheetViews>
    <sheetView zoomScale="85" zoomScaleNormal="85" workbookViewId="0">
      <selection activeCell="H20" sqref="H20"/>
    </sheetView>
  </sheetViews>
  <sheetFormatPr defaultColWidth="10.90625" defaultRowHeight="14.5" x14ac:dyDescent="0.35"/>
  <cols>
    <col min="1" max="1" width="2.6328125" customWidth="1"/>
    <col min="2" max="2" width="28.81640625" customWidth="1"/>
    <col min="3" max="3" width="1.6328125" customWidth="1"/>
    <col min="4" max="6" width="12.6328125" style="6" customWidth="1"/>
    <col min="7" max="7" width="12.6328125" customWidth="1"/>
    <col min="8" max="9" width="12.6328125" style="6" customWidth="1"/>
    <col min="10" max="10" width="12.6328125" customWidth="1"/>
    <col min="11" max="12" width="12.6328125" style="6" customWidth="1"/>
    <col min="13" max="13" width="12.6328125" customWidth="1"/>
    <col min="14" max="15" width="12.6328125" style="6" customWidth="1"/>
    <col min="16" max="16" width="12.6328125" customWidth="1"/>
    <col min="17" max="18" width="12.6328125" style="6" customWidth="1"/>
    <col min="19" max="19" width="12.6328125" customWidth="1"/>
    <col min="20" max="21" width="12.6328125" style="6" customWidth="1"/>
    <col min="22" max="22" width="12.6328125" customWidth="1"/>
    <col min="23" max="24" width="12.6328125" style="6" customWidth="1"/>
    <col min="25" max="25" width="12.6328125" customWidth="1"/>
  </cols>
  <sheetData>
    <row r="1" spans="2:25" x14ac:dyDescent="0.35">
      <c r="D1"/>
      <c r="E1"/>
      <c r="F1"/>
      <c r="H1"/>
      <c r="I1"/>
      <c r="K1"/>
      <c r="L1"/>
      <c r="N1"/>
      <c r="O1"/>
      <c r="Q1"/>
      <c r="R1"/>
      <c r="T1"/>
      <c r="U1"/>
      <c r="W1"/>
      <c r="X1"/>
    </row>
    <row r="2" spans="2:25" x14ac:dyDescent="0.35">
      <c r="B2" s="3" t="s">
        <v>0</v>
      </c>
      <c r="D2" s="10" t="s">
        <v>167</v>
      </c>
      <c r="E2" s="10" t="s">
        <v>168</v>
      </c>
      <c r="F2" s="10" t="s">
        <v>169</v>
      </c>
      <c r="G2" s="10" t="s">
        <v>170</v>
      </c>
      <c r="H2" s="10" t="s">
        <v>171</v>
      </c>
      <c r="I2" s="10" t="s">
        <v>172</v>
      </c>
      <c r="J2" s="10" t="s">
        <v>173</v>
      </c>
      <c r="K2" s="10" t="s">
        <v>174</v>
      </c>
      <c r="L2" s="10" t="s">
        <v>175</v>
      </c>
      <c r="M2" s="10" t="s">
        <v>176</v>
      </c>
      <c r="N2" s="10" t="s">
        <v>177</v>
      </c>
      <c r="O2" s="10" t="s">
        <v>178</v>
      </c>
      <c r="P2" s="10" t="s">
        <v>179</v>
      </c>
      <c r="Q2" s="10" t="s">
        <v>180</v>
      </c>
      <c r="R2" s="10" t="s">
        <v>181</v>
      </c>
      <c r="S2" s="10" t="s">
        <v>182</v>
      </c>
      <c r="T2" s="10" t="s">
        <v>183</v>
      </c>
      <c r="U2" s="10" t="s">
        <v>184</v>
      </c>
      <c r="V2" s="10" t="s">
        <v>185</v>
      </c>
      <c r="W2" s="10" t="s">
        <v>186</v>
      </c>
      <c r="X2" s="10" t="s">
        <v>187</v>
      </c>
      <c r="Y2" s="10" t="s">
        <v>188</v>
      </c>
    </row>
    <row r="3" spans="2:25" x14ac:dyDescent="0.35">
      <c r="B3" s="4" t="s">
        <v>1</v>
      </c>
      <c r="D3" s="6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</row>
    <row r="4" spans="2:25" x14ac:dyDescent="0.35">
      <c r="B4" s="5" t="s">
        <v>2</v>
      </c>
      <c r="D4" s="6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</row>
    <row r="5" spans="2:25" x14ac:dyDescent="0.35">
      <c r="B5" s="5" t="s">
        <v>3</v>
      </c>
      <c r="D5" s="6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  <c r="K5">
        <v>4</v>
      </c>
      <c r="L5">
        <v>4</v>
      </c>
      <c r="M5">
        <v>4</v>
      </c>
      <c r="N5">
        <v>4</v>
      </c>
      <c r="O5">
        <v>4</v>
      </c>
      <c r="P5">
        <v>4</v>
      </c>
      <c r="Q5">
        <v>4</v>
      </c>
      <c r="R5">
        <v>4</v>
      </c>
      <c r="S5">
        <v>4</v>
      </c>
      <c r="T5">
        <v>4</v>
      </c>
      <c r="U5">
        <v>4</v>
      </c>
      <c r="V5">
        <v>4</v>
      </c>
      <c r="W5">
        <v>4</v>
      </c>
      <c r="X5">
        <v>4</v>
      </c>
      <c r="Y5">
        <v>4</v>
      </c>
    </row>
    <row r="6" spans="2:25" x14ac:dyDescent="0.35">
      <c r="B6" s="5" t="s">
        <v>4</v>
      </c>
      <c r="D6" s="6">
        <v>4</v>
      </c>
      <c r="E6">
        <v>4</v>
      </c>
      <c r="F6">
        <v>2</v>
      </c>
      <c r="G6">
        <v>1</v>
      </c>
      <c r="H6">
        <v>4</v>
      </c>
      <c r="I6">
        <v>2</v>
      </c>
      <c r="J6">
        <v>1</v>
      </c>
      <c r="K6">
        <v>4</v>
      </c>
      <c r="L6">
        <v>2</v>
      </c>
      <c r="M6">
        <v>1</v>
      </c>
      <c r="N6">
        <v>4</v>
      </c>
      <c r="O6">
        <v>2</v>
      </c>
      <c r="P6">
        <v>1</v>
      </c>
      <c r="Q6">
        <v>4</v>
      </c>
      <c r="R6">
        <v>2</v>
      </c>
      <c r="S6">
        <v>1</v>
      </c>
      <c r="T6">
        <v>4</v>
      </c>
      <c r="U6">
        <v>2</v>
      </c>
      <c r="V6">
        <v>1</v>
      </c>
      <c r="W6">
        <v>4</v>
      </c>
      <c r="X6">
        <v>2</v>
      </c>
      <c r="Y6">
        <v>1</v>
      </c>
    </row>
    <row r="7" spans="2:25" x14ac:dyDescent="0.35">
      <c r="B7" s="4" t="s">
        <v>5</v>
      </c>
      <c r="D7" s="6">
        <v>273</v>
      </c>
      <c r="E7">
        <f xml:space="preserve"> 8 * CEILING(E33 * $D$7 * E34 * E35 / 8, 1)</f>
        <v>32</v>
      </c>
      <c r="F7">
        <f xml:space="preserve"> 8 * CEILING(F33 * $D$7 * F34 * F35 / 8, 1)</f>
        <v>40</v>
      </c>
      <c r="G7">
        <f t="shared" ref="G7:Y7" si="0" xml:space="preserve"> 8 * CEILING(G33 * $D$7 * G34 * G35 / 8, 1)</f>
        <v>24</v>
      </c>
      <c r="H7">
        <f t="shared" si="0"/>
        <v>64</v>
      </c>
      <c r="I7">
        <f t="shared" si="0"/>
        <v>72</v>
      </c>
      <c r="J7">
        <f xml:space="preserve"> 8 * CEILING(J33 * $D$7 * J34 * J35 / 8, 1)</f>
        <v>48</v>
      </c>
      <c r="K7">
        <f t="shared" si="0"/>
        <v>88</v>
      </c>
      <c r="L7">
        <f t="shared" si="0"/>
        <v>104</v>
      </c>
      <c r="M7">
        <f t="shared" si="0"/>
        <v>64</v>
      </c>
      <c r="N7">
        <f t="shared" si="0"/>
        <v>120</v>
      </c>
      <c r="O7">
        <f t="shared" si="0"/>
        <v>136</v>
      </c>
      <c r="P7">
        <f t="shared" si="0"/>
        <v>88</v>
      </c>
      <c r="Q7">
        <f t="shared" si="0"/>
        <v>144</v>
      </c>
      <c r="R7">
        <f t="shared" si="0"/>
        <v>168</v>
      </c>
      <c r="S7">
        <f t="shared" si="0"/>
        <v>104</v>
      </c>
      <c r="T7">
        <f t="shared" si="0"/>
        <v>176</v>
      </c>
      <c r="U7">
        <f t="shared" si="0"/>
        <v>200</v>
      </c>
      <c r="V7">
        <f t="shared" si="0"/>
        <v>128</v>
      </c>
      <c r="W7">
        <f t="shared" si="0"/>
        <v>208</v>
      </c>
      <c r="X7">
        <f t="shared" si="0"/>
        <v>232</v>
      </c>
      <c r="Y7">
        <f t="shared" si="0"/>
        <v>144</v>
      </c>
    </row>
    <row r="8" spans="2:25" x14ac:dyDescent="0.35">
      <c r="B8" s="4" t="s">
        <v>6</v>
      </c>
      <c r="D8" s="6">
        <v>12</v>
      </c>
      <c r="E8" s="6">
        <v>12</v>
      </c>
      <c r="F8" s="6">
        <v>12</v>
      </c>
      <c r="G8" s="6">
        <v>12</v>
      </c>
      <c r="H8" s="6">
        <v>12</v>
      </c>
      <c r="I8" s="6">
        <v>12</v>
      </c>
      <c r="J8" s="6">
        <v>12</v>
      </c>
      <c r="K8" s="6">
        <v>12</v>
      </c>
      <c r="L8" s="6">
        <v>12</v>
      </c>
      <c r="M8" s="6">
        <v>12</v>
      </c>
      <c r="N8" s="6">
        <v>12</v>
      </c>
      <c r="O8" s="6">
        <v>12</v>
      </c>
      <c r="P8" s="6">
        <v>12</v>
      </c>
      <c r="Q8" s="6">
        <v>12</v>
      </c>
      <c r="R8" s="6">
        <v>12</v>
      </c>
      <c r="S8" s="6">
        <v>12</v>
      </c>
      <c r="T8" s="6">
        <v>12</v>
      </c>
      <c r="U8" s="6">
        <v>12</v>
      </c>
      <c r="V8" s="6">
        <v>12</v>
      </c>
      <c r="W8" s="6">
        <v>12</v>
      </c>
      <c r="X8" s="6">
        <v>12</v>
      </c>
      <c r="Y8" s="6">
        <v>12</v>
      </c>
    </row>
    <row r="9" spans="2:25" x14ac:dyDescent="0.35">
      <c r="B9" s="4" t="s">
        <v>7</v>
      </c>
      <c r="D9" s="6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</row>
    <row r="10" spans="2:25" x14ac:dyDescent="0.35">
      <c r="B10" s="9" t="s">
        <v>8</v>
      </c>
      <c r="D10" s="6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</row>
    <row r="11" spans="2:25" x14ac:dyDescent="0.35">
      <c r="B11" s="9" t="s">
        <v>9</v>
      </c>
      <c r="D11" s="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2:25" x14ac:dyDescent="0.35">
      <c r="B12" s="4" t="s">
        <v>165</v>
      </c>
      <c r="D12" s="6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</row>
    <row r="13" spans="2:25" x14ac:dyDescent="0.35">
      <c r="B13" s="4" t="s">
        <v>166</v>
      </c>
      <c r="D13" s="6">
        <v>27</v>
      </c>
      <c r="E13">
        <v>24</v>
      </c>
      <c r="F13">
        <v>13</v>
      </c>
      <c r="G13">
        <v>7</v>
      </c>
      <c r="H13">
        <v>24</v>
      </c>
      <c r="I13">
        <v>13</v>
      </c>
      <c r="J13">
        <v>7</v>
      </c>
      <c r="K13">
        <v>24</v>
      </c>
      <c r="L13">
        <v>13</v>
      </c>
      <c r="M13">
        <v>7</v>
      </c>
      <c r="N13">
        <v>24</v>
      </c>
      <c r="O13">
        <v>13</v>
      </c>
      <c r="P13">
        <v>7</v>
      </c>
      <c r="Q13">
        <v>24</v>
      </c>
      <c r="R13">
        <v>13</v>
      </c>
      <c r="S13">
        <v>7</v>
      </c>
      <c r="T13">
        <v>24</v>
      </c>
      <c r="U13">
        <v>13</v>
      </c>
      <c r="V13">
        <v>7</v>
      </c>
      <c r="W13">
        <v>24</v>
      </c>
      <c r="X13">
        <v>13</v>
      </c>
      <c r="Y13">
        <v>7</v>
      </c>
    </row>
    <row r="14" spans="2:25" x14ac:dyDescent="0.35">
      <c r="B14" s="4" t="s">
        <v>12</v>
      </c>
      <c r="D14" s="6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</row>
    <row r="15" spans="2:25" x14ac:dyDescent="0.35">
      <c r="B15" s="4" t="s">
        <v>13</v>
      </c>
      <c r="D15" s="6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</row>
    <row r="16" spans="2:25" x14ac:dyDescent="0.35">
      <c r="B16" s="4" t="s">
        <v>14</v>
      </c>
      <c r="D16" s="6">
        <v>4</v>
      </c>
      <c r="E16">
        <v>4</v>
      </c>
      <c r="F16">
        <v>2</v>
      </c>
      <c r="G16">
        <v>1</v>
      </c>
      <c r="H16">
        <v>4</v>
      </c>
      <c r="I16">
        <v>2</v>
      </c>
      <c r="J16">
        <v>1</v>
      </c>
      <c r="K16">
        <v>4</v>
      </c>
      <c r="L16">
        <v>2</v>
      </c>
      <c r="M16">
        <v>1</v>
      </c>
      <c r="N16">
        <v>4</v>
      </c>
      <c r="O16">
        <v>2</v>
      </c>
      <c r="P16">
        <v>1</v>
      </c>
      <c r="Q16">
        <v>4</v>
      </c>
      <c r="R16">
        <v>2</v>
      </c>
      <c r="S16">
        <v>1</v>
      </c>
      <c r="T16">
        <v>4</v>
      </c>
      <c r="U16">
        <v>2</v>
      </c>
      <c r="V16">
        <v>1</v>
      </c>
      <c r="W16">
        <v>4</v>
      </c>
      <c r="X16">
        <v>2</v>
      </c>
      <c r="Y16">
        <v>1</v>
      </c>
    </row>
    <row r="17" spans="2:25" x14ac:dyDescent="0.35">
      <c r="B17" s="4" t="s">
        <v>15</v>
      </c>
      <c r="D17" s="6" t="s">
        <v>34</v>
      </c>
      <c r="E17" s="6" t="s">
        <v>34</v>
      </c>
      <c r="F17" s="6" t="s">
        <v>34</v>
      </c>
      <c r="G17" s="6" t="s">
        <v>34</v>
      </c>
      <c r="H17" s="6" t="s">
        <v>34</v>
      </c>
      <c r="I17" s="6" t="s">
        <v>34</v>
      </c>
      <c r="J17" s="6" t="s">
        <v>34</v>
      </c>
      <c r="K17" s="6" t="s">
        <v>34</v>
      </c>
      <c r="L17" s="6" t="s">
        <v>34</v>
      </c>
      <c r="M17" s="6" t="s">
        <v>34</v>
      </c>
      <c r="N17" s="6" t="s">
        <v>34</v>
      </c>
      <c r="O17" s="6" t="s">
        <v>34</v>
      </c>
      <c r="P17" s="6" t="s">
        <v>34</v>
      </c>
      <c r="Q17" s="6" t="s">
        <v>34</v>
      </c>
      <c r="R17" s="6" t="s">
        <v>34</v>
      </c>
      <c r="S17" s="6" t="s">
        <v>34</v>
      </c>
      <c r="T17" s="6" t="s">
        <v>34</v>
      </c>
      <c r="U17" s="6" t="s">
        <v>34</v>
      </c>
      <c r="V17" s="6" t="s">
        <v>34</v>
      </c>
      <c r="W17" s="6" t="s">
        <v>34</v>
      </c>
      <c r="X17" s="6" t="s">
        <v>34</v>
      </c>
      <c r="Y17" s="6" t="s">
        <v>34</v>
      </c>
    </row>
    <row r="18" spans="2:25" x14ac:dyDescent="0.35">
      <c r="B18" s="9" t="s">
        <v>16</v>
      </c>
      <c r="D18" s="6" t="s">
        <v>17</v>
      </c>
      <c r="E18" s="6" t="s">
        <v>17</v>
      </c>
      <c r="F18" s="6" t="s">
        <v>17</v>
      </c>
      <c r="G18" s="6" t="s">
        <v>17</v>
      </c>
      <c r="H18" s="6" t="s">
        <v>17</v>
      </c>
      <c r="I18" s="6" t="s">
        <v>17</v>
      </c>
      <c r="J18" s="6" t="s">
        <v>17</v>
      </c>
      <c r="K18" s="6" t="s">
        <v>17</v>
      </c>
      <c r="L18" s="6" t="s">
        <v>17</v>
      </c>
      <c r="M18" s="6" t="s">
        <v>17</v>
      </c>
      <c r="N18" s="6" t="s">
        <v>17</v>
      </c>
      <c r="O18" s="6" t="s">
        <v>17</v>
      </c>
      <c r="P18" s="6" t="s">
        <v>17</v>
      </c>
      <c r="Q18" s="6" t="s">
        <v>17</v>
      </c>
      <c r="R18" s="6" t="s">
        <v>17</v>
      </c>
      <c r="S18" s="6" t="s">
        <v>17</v>
      </c>
      <c r="T18" s="6" t="s">
        <v>17</v>
      </c>
      <c r="U18" s="6" t="s">
        <v>17</v>
      </c>
      <c r="V18" s="6" t="s">
        <v>17</v>
      </c>
      <c r="W18" s="6" t="s">
        <v>17</v>
      </c>
      <c r="X18" s="6" t="s">
        <v>17</v>
      </c>
      <c r="Y18" s="6" t="s">
        <v>17</v>
      </c>
    </row>
    <row r="19" spans="2:25" x14ac:dyDescent="0.35">
      <c r="B19" s="4" t="s">
        <v>18</v>
      </c>
      <c r="D19" s="6" t="s">
        <v>17</v>
      </c>
      <c r="E19" s="6" t="s">
        <v>17</v>
      </c>
      <c r="F19" s="6" t="s">
        <v>17</v>
      </c>
      <c r="G19" s="6" t="s">
        <v>17</v>
      </c>
      <c r="H19" s="6" t="s">
        <v>17</v>
      </c>
      <c r="I19" s="6" t="s">
        <v>17</v>
      </c>
      <c r="J19" s="6" t="s">
        <v>17</v>
      </c>
      <c r="K19" s="6" t="s">
        <v>17</v>
      </c>
      <c r="L19" s="6" t="s">
        <v>17</v>
      </c>
      <c r="M19" s="6" t="s">
        <v>17</v>
      </c>
      <c r="N19" s="6" t="s">
        <v>17</v>
      </c>
      <c r="O19" s="6" t="s">
        <v>17</v>
      </c>
      <c r="P19" s="6" t="s">
        <v>17</v>
      </c>
      <c r="Q19" s="6" t="s">
        <v>17</v>
      </c>
      <c r="R19" s="6" t="s">
        <v>17</v>
      </c>
      <c r="S19" s="6" t="s">
        <v>17</v>
      </c>
      <c r="T19" s="6" t="s">
        <v>17</v>
      </c>
      <c r="U19" s="6" t="s">
        <v>17</v>
      </c>
      <c r="V19" s="6" t="s">
        <v>17</v>
      </c>
      <c r="W19" s="6" t="s">
        <v>17</v>
      </c>
      <c r="X19" s="6" t="s">
        <v>17</v>
      </c>
      <c r="Y19" s="6" t="s">
        <v>17</v>
      </c>
    </row>
    <row r="20" spans="2:25" x14ac:dyDescent="0.35">
      <c r="B20" s="4" t="s">
        <v>19</v>
      </c>
      <c r="D20" s="6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</row>
    <row r="21" spans="2:25" x14ac:dyDescent="0.35">
      <c r="B21" s="2" t="s">
        <v>20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</row>
    <row r="22" spans="2:25" x14ac:dyDescent="0.35">
      <c r="B22" s="7" t="s">
        <v>21</v>
      </c>
      <c r="D22" s="6" t="s">
        <v>22</v>
      </c>
      <c r="E22" s="6" t="s">
        <v>22</v>
      </c>
      <c r="F22" s="6" t="s">
        <v>22</v>
      </c>
      <c r="G22" s="6" t="s">
        <v>22</v>
      </c>
      <c r="H22" s="6" t="s">
        <v>22</v>
      </c>
      <c r="I22" s="6" t="s">
        <v>22</v>
      </c>
      <c r="J22" s="6" t="s">
        <v>22</v>
      </c>
      <c r="K22" s="6" t="s">
        <v>22</v>
      </c>
      <c r="L22" s="6" t="s">
        <v>22</v>
      </c>
      <c r="M22" s="6" t="s">
        <v>22</v>
      </c>
      <c r="N22" s="6" t="s">
        <v>22</v>
      </c>
      <c r="O22" s="6" t="s">
        <v>22</v>
      </c>
      <c r="P22" s="6" t="s">
        <v>22</v>
      </c>
      <c r="Q22" s="6" t="s">
        <v>22</v>
      </c>
      <c r="R22" s="6" t="s">
        <v>22</v>
      </c>
      <c r="S22" s="6" t="s">
        <v>22</v>
      </c>
      <c r="T22" s="6" t="s">
        <v>22</v>
      </c>
      <c r="U22" s="6" t="s">
        <v>22</v>
      </c>
      <c r="V22" s="6" t="s">
        <v>22</v>
      </c>
      <c r="W22" s="6" t="s">
        <v>22</v>
      </c>
      <c r="X22" s="6" t="s">
        <v>22</v>
      </c>
      <c r="Y22" s="6" t="s">
        <v>22</v>
      </c>
    </row>
    <row r="23" spans="2:25" x14ac:dyDescent="0.35">
      <c r="B23" s="7" t="s">
        <v>23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</row>
    <row r="24" spans="2:25" x14ac:dyDescent="0.35">
      <c r="B24" s="7" t="s">
        <v>24</v>
      </c>
      <c r="D24" s="6" t="s">
        <v>25</v>
      </c>
      <c r="E24" s="6" t="s">
        <v>25</v>
      </c>
      <c r="F24" s="6" t="s">
        <v>25</v>
      </c>
      <c r="G24" s="6" t="s">
        <v>25</v>
      </c>
      <c r="H24" s="6" t="s">
        <v>25</v>
      </c>
      <c r="I24" s="6" t="s">
        <v>25</v>
      </c>
      <c r="J24" s="6" t="s">
        <v>25</v>
      </c>
      <c r="K24" s="6" t="s">
        <v>25</v>
      </c>
      <c r="L24" s="6" t="s">
        <v>25</v>
      </c>
      <c r="M24" s="6" t="s">
        <v>25</v>
      </c>
      <c r="N24" s="6" t="s">
        <v>25</v>
      </c>
      <c r="O24" s="6" t="s">
        <v>25</v>
      </c>
      <c r="P24" s="6" t="s">
        <v>25</v>
      </c>
      <c r="Q24" s="6" t="s">
        <v>25</v>
      </c>
      <c r="R24" s="6" t="s">
        <v>25</v>
      </c>
      <c r="S24" s="6" t="s">
        <v>25</v>
      </c>
      <c r="T24" s="6" t="s">
        <v>25</v>
      </c>
      <c r="U24" s="6" t="s">
        <v>25</v>
      </c>
      <c r="V24" s="6" t="s">
        <v>25</v>
      </c>
      <c r="W24" s="6" t="s">
        <v>25</v>
      </c>
      <c r="X24" s="6" t="s">
        <v>25</v>
      </c>
      <c r="Y24" s="6" t="s">
        <v>25</v>
      </c>
    </row>
    <row r="25" spans="2:25" x14ac:dyDescent="0.35">
      <c r="B25" s="2" t="s">
        <v>26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</row>
    <row r="26" spans="2:25" x14ac:dyDescent="0.35">
      <c r="B26" s="14" t="s">
        <v>10</v>
      </c>
      <c r="D26" s="6" cm="1">
        <f t="array" ref="D26">Comm_MCS_ModOrd(D12,D13)</f>
        <v>8</v>
      </c>
      <c r="E26" s="6" cm="1">
        <f t="array" ref="E26">Comm_MCS_ModOrd(E12,E13)</f>
        <v>8</v>
      </c>
      <c r="F26" s="6" cm="1">
        <f t="array" ref="F26">Comm_MCS_ModOrd(F12,F13)</f>
        <v>6</v>
      </c>
      <c r="G26" s="6" cm="1">
        <f t="array" ref="G26">Comm_MCS_ModOrd(G12,G13)</f>
        <v>4</v>
      </c>
      <c r="H26" s="6" cm="1">
        <f t="array" ref="H26">Comm_MCS_ModOrd(H12,H13)</f>
        <v>8</v>
      </c>
      <c r="I26" s="6" cm="1">
        <f t="array" ref="I26">Comm_MCS_ModOrd(I12,I13)</f>
        <v>6</v>
      </c>
      <c r="J26" s="6" cm="1">
        <f t="array" ref="J26">Comm_MCS_ModOrd(J12,J13)</f>
        <v>4</v>
      </c>
      <c r="K26" s="6" cm="1">
        <f t="array" ref="K26">Comm_MCS_ModOrd(K12,K13)</f>
        <v>8</v>
      </c>
      <c r="L26" s="6" cm="1">
        <f t="array" ref="L26">Comm_MCS_ModOrd(L12,L13)</f>
        <v>6</v>
      </c>
      <c r="M26" s="6" cm="1">
        <f t="array" ref="M26">Comm_MCS_ModOrd(M12,M13)</f>
        <v>4</v>
      </c>
      <c r="N26" s="6" cm="1">
        <f t="array" ref="N26">Comm_MCS_ModOrd(N12,N13)</f>
        <v>8</v>
      </c>
      <c r="O26" s="6" cm="1">
        <f t="array" ref="O26">Comm_MCS_ModOrd(O12,O13)</f>
        <v>6</v>
      </c>
      <c r="P26" s="6" cm="1">
        <f t="array" ref="P26">Comm_MCS_ModOrd(P12,P13)</f>
        <v>4</v>
      </c>
      <c r="Q26" s="6" cm="1">
        <f t="array" ref="Q26">Comm_MCS_ModOrd(Q12,Q13)</f>
        <v>8</v>
      </c>
      <c r="R26" s="6" cm="1">
        <f t="array" ref="R26">Comm_MCS_ModOrd(R12,R13)</f>
        <v>6</v>
      </c>
      <c r="S26" s="6" cm="1">
        <f t="array" ref="S26">Comm_MCS_ModOrd(S12,S13)</f>
        <v>4</v>
      </c>
      <c r="T26" s="6" cm="1">
        <f t="array" ref="T26">Comm_MCS_ModOrd(T12,T13)</f>
        <v>8</v>
      </c>
      <c r="U26" s="6" cm="1">
        <f t="array" ref="U26">Comm_MCS_ModOrd(U12,U13)</f>
        <v>6</v>
      </c>
      <c r="V26" s="6" cm="1">
        <f t="array" ref="V26">Comm_MCS_ModOrd(V12,V13)</f>
        <v>4</v>
      </c>
      <c r="W26" s="6" cm="1">
        <f t="array" ref="W26">Comm_MCS_ModOrd(W12,W13)</f>
        <v>8</v>
      </c>
      <c r="X26" s="6" cm="1">
        <f t="array" ref="X26">Comm_MCS_ModOrd(X12,X13)</f>
        <v>6</v>
      </c>
      <c r="Y26" s="6" cm="1">
        <f t="array" ref="Y26">Comm_MCS_ModOrd(Y12,Y13)</f>
        <v>4</v>
      </c>
    </row>
    <row r="27" spans="2:25" x14ac:dyDescent="0.35">
      <c r="B27" s="14" t="s">
        <v>11</v>
      </c>
      <c r="D27" s="6" cm="1">
        <f t="array" ref="D27">Comm_MCS_CodeRate(D12,D13)</f>
        <v>948</v>
      </c>
      <c r="E27" s="6" cm="1">
        <f t="array" ref="E27">Comm_MCS_CodeRate(E12,E13)</f>
        <v>841</v>
      </c>
      <c r="F27" s="6" cm="1">
        <f t="array" ref="F27">Comm_MCS_CodeRate(F12,F13)</f>
        <v>567</v>
      </c>
      <c r="G27" s="6" cm="1">
        <f t="array" ref="G27">Comm_MCS_CodeRate(G12,G13)</f>
        <v>490</v>
      </c>
      <c r="H27" s="6" cm="1">
        <f t="array" ref="H27">Comm_MCS_CodeRate(H12,H13)</f>
        <v>841</v>
      </c>
      <c r="I27" s="6" cm="1">
        <f t="array" ref="I27">Comm_MCS_CodeRate(I12,I13)</f>
        <v>567</v>
      </c>
      <c r="J27" s="6" cm="1">
        <f t="array" ref="J27">Comm_MCS_CodeRate(J12,J13)</f>
        <v>490</v>
      </c>
      <c r="K27" s="6" cm="1">
        <f t="array" ref="K27">Comm_MCS_CodeRate(K12,K13)</f>
        <v>841</v>
      </c>
      <c r="L27" s="6" cm="1">
        <f t="array" ref="L27">Comm_MCS_CodeRate(L12,L13)</f>
        <v>567</v>
      </c>
      <c r="M27" s="6" cm="1">
        <f t="array" ref="M27">Comm_MCS_CodeRate(M12,M13)</f>
        <v>490</v>
      </c>
      <c r="N27" s="6" cm="1">
        <f t="array" ref="N27">Comm_MCS_CodeRate(N12,N13)</f>
        <v>841</v>
      </c>
      <c r="O27" s="6" cm="1">
        <f t="array" ref="O27">Comm_MCS_CodeRate(O12,O13)</f>
        <v>567</v>
      </c>
      <c r="P27" s="6" cm="1">
        <f t="array" ref="P27">Comm_MCS_CodeRate(P12,P13)</f>
        <v>490</v>
      </c>
      <c r="Q27" s="6" cm="1">
        <f t="array" ref="Q27">Comm_MCS_CodeRate(Q12,Q13)</f>
        <v>841</v>
      </c>
      <c r="R27" s="6" cm="1">
        <f t="array" ref="R27">Comm_MCS_CodeRate(R12,R13)</f>
        <v>567</v>
      </c>
      <c r="S27" s="6" cm="1">
        <f t="array" ref="S27">Comm_MCS_CodeRate(S12,S13)</f>
        <v>490</v>
      </c>
      <c r="T27" s="6" cm="1">
        <f t="array" ref="T27">Comm_MCS_CodeRate(T12,T13)</f>
        <v>841</v>
      </c>
      <c r="U27" s="6" cm="1">
        <f t="array" ref="U27">Comm_MCS_CodeRate(U12,U13)</f>
        <v>567</v>
      </c>
      <c r="V27" s="6" cm="1">
        <f t="array" ref="V27">Comm_MCS_CodeRate(V12,V13)</f>
        <v>490</v>
      </c>
      <c r="W27" s="6" cm="1">
        <f t="array" ref="W27">Comm_MCS_CodeRate(W12,W13)</f>
        <v>841</v>
      </c>
      <c r="X27" s="6" cm="1">
        <f t="array" ref="X27">Comm_MCS_CodeRate(X12,X13)</f>
        <v>567</v>
      </c>
      <c r="Y27" s="6" cm="1">
        <f t="array" ref="Y27">Comm_MCS_CodeRate(Y12,Y13)</f>
        <v>490</v>
      </c>
    </row>
    <row r="28" spans="2:25" x14ac:dyDescent="0.35">
      <c r="B28" s="1" t="s">
        <v>27</v>
      </c>
      <c r="D28" s="6" cm="1">
        <f t="array" ref="D28">Comm_Z(D7, D26, D27, D8, D9, D6/D15)</f>
        <v>384</v>
      </c>
      <c r="E28" s="6" cm="1">
        <f t="array" ref="E28">Comm_Z(E7, E26, E27, E8, E9, E6/E15)</f>
        <v>384</v>
      </c>
      <c r="F28" s="6" cm="1">
        <f t="array" ref="F28">Comm_Z(F7, F26, F27, F8, F9, F6/F15)</f>
        <v>320</v>
      </c>
      <c r="G28" s="6" cm="1">
        <f t="array" ref="G28">Comm_Z(G7, G26, G27, G8, G9, G6/G15)</f>
        <v>288</v>
      </c>
      <c r="H28" s="6" cm="1">
        <f t="array" ref="H28">Comm_Z(H7, H26, H27, H8, H9, H6/H15)</f>
        <v>384</v>
      </c>
      <c r="I28" s="6" cm="1">
        <f t="array" ref="I28">Comm_Z(I7, I26, I27, I8, I9, I6/I15)</f>
        <v>384</v>
      </c>
      <c r="J28" s="6" cm="1">
        <f t="array" ref="J28">Comm_Z(J7, J26, J27, J8, J9, J6/J15)</f>
        <v>288</v>
      </c>
      <c r="K28" s="6" cm="1">
        <f t="array" ref="K28">Comm_Z(K7, K26, K27, K8, K9, K6/K15)</f>
        <v>384</v>
      </c>
      <c r="L28" s="6" cm="1">
        <f t="array" ref="L28">Comm_Z(L7, L26, L27, L8, L9, L6/L15)</f>
        <v>384</v>
      </c>
      <c r="M28" s="6" cm="1">
        <f t="array" ref="M28">Comm_Z(M7, M26, M27, M8, M9, M6/M15)</f>
        <v>384</v>
      </c>
      <c r="N28" s="6" cm="1">
        <f t="array" ref="N28">Comm_Z(N7, N26, N27, N8, N9, N6/N15)</f>
        <v>384</v>
      </c>
      <c r="O28" s="6" cm="1">
        <f t="array" ref="O28">Comm_Z(O7, O26, O27, O8, O9, O6/O15)</f>
        <v>384</v>
      </c>
      <c r="P28" s="6" cm="1">
        <f t="array" ref="P28">Comm_Z(P7, P26, P27, P8, P9, P6/P15)</f>
        <v>352</v>
      </c>
      <c r="Q28" s="6" cm="1">
        <f t="array" ref="Q28">Comm_Z(Q7, Q26, Q27, Q8, Q9, Q6/Q15)</f>
        <v>384</v>
      </c>
      <c r="R28" s="6" cm="1">
        <f t="array" ref="R28">Comm_Z(R7, R26, R27, R8, R9, R6/R15)</f>
        <v>384</v>
      </c>
      <c r="S28" s="6" cm="1">
        <f t="array" ref="S28">Comm_Z(S7, S26, S27, S8, S9, S6/S15)</f>
        <v>320</v>
      </c>
      <c r="T28" s="6" cm="1">
        <f t="array" ref="T28">Comm_Z(T7, T26, T27, T8, T9, T6/T15)</f>
        <v>384</v>
      </c>
      <c r="U28" s="6" cm="1">
        <f t="array" ref="U28">Comm_Z(U7, U26, U27, U8, U9, U6/U15)</f>
        <v>384</v>
      </c>
      <c r="V28" s="6" cm="1">
        <f t="array" ref="V28">Comm_Z(V7, V26, V27, V8, V9, V6/V15)</f>
        <v>384</v>
      </c>
      <c r="W28" s="6" cm="1">
        <f t="array" ref="W28">Comm_Z(W7, W26, W27, W8, W9, W6/W15)</f>
        <v>384</v>
      </c>
      <c r="X28" s="6" cm="1">
        <f t="array" ref="X28">Comm_Z(X7, X26, X27, X8, X9, X6/X15)</f>
        <v>384</v>
      </c>
      <c r="Y28" s="6" cm="1">
        <f t="array" ref="Y28">Comm_Z(Y7, Y26, Y27, Y8, Y9, Y6/Y15)</f>
        <v>352</v>
      </c>
    </row>
    <row r="29" spans="2:25" x14ac:dyDescent="0.35">
      <c r="B29" s="1" t="s">
        <v>28</v>
      </c>
      <c r="D29" s="6" cm="1">
        <f t="array" ref="D29">Comm_TBS(D7, D26, D27, D8, D9, D6/D15)</f>
        <v>1081512</v>
      </c>
      <c r="E29" s="6" cm="1">
        <f t="array" ref="E29">Comm_TBS(E7, E26, E27, E8, E9, E6/E15)</f>
        <v>110632</v>
      </c>
      <c r="F29" s="6" cm="1">
        <f t="array" ref="F29">Comm_TBS(F7, F26, F27, F8, F9, F6/F15)</f>
        <v>34816</v>
      </c>
      <c r="G29" s="6" cm="1">
        <f t="array" ref="G29">Comm_TBS(G7, G26, G27, G8, G9, G6/G15)</f>
        <v>6016</v>
      </c>
      <c r="H29" s="6" cm="1">
        <f t="array" ref="H29">Comm_TBS(H7, H26, H27, H8, H9, H6/H15)</f>
        <v>221376</v>
      </c>
      <c r="I29" s="6" cm="1">
        <f t="array" ref="I29">Comm_TBS(I7, I26, I27, I8, I9, I6/I15)</f>
        <v>63528</v>
      </c>
      <c r="J29" s="6" cm="1">
        <f t="array" ref="J29">Comm_TBS(J7, J26, J27, J8, J9, J6/J15)</f>
        <v>12040</v>
      </c>
      <c r="K29" s="6" cm="1">
        <f t="array" ref="K29">Comm_TBS(K7, K26, K27, K8, K9, K6/K15)</f>
        <v>303240</v>
      </c>
      <c r="L29" s="6" cm="1">
        <f t="array" ref="L29">Comm_TBS(L7, L26, L27, L8, L9, L6/L15)</f>
        <v>92200</v>
      </c>
      <c r="M29" s="6" cm="1">
        <f t="array" ref="M29">Comm_TBS(M7, M26, M27, M8, M9, M6/M15)</f>
        <v>16136</v>
      </c>
      <c r="N29" s="6" cm="1">
        <f t="array" ref="N29">Comm_TBS(N7, N26, N27, N8, N9, N6/N15)</f>
        <v>417976</v>
      </c>
      <c r="O29" s="6" cm="1">
        <f t="array" ref="O29">Comm_TBS(O7, O26, O27, O8, O9, O6/O15)</f>
        <v>118896</v>
      </c>
      <c r="P29" s="6" cm="1">
        <f t="array" ref="P29">Comm_TBS(P7, P26, P27, P8, P9, P6/P15)</f>
        <v>22032</v>
      </c>
      <c r="Q29" s="6" cm="1">
        <f t="array" ref="Q29">Comm_TBS(Q7, Q26, Q27, Q8, Q9, Q6/Q15)</f>
        <v>500136</v>
      </c>
      <c r="R29" s="6" cm="1">
        <f t="array" ref="R29">Comm_TBS(R7, R26, R27, R8, R9, R6/R15)</f>
        <v>147576</v>
      </c>
      <c r="S29" s="6" cm="1">
        <f t="array" ref="S29">Comm_TBS(S7, S26, S27, S8, S9, S6/S15)</f>
        <v>26120</v>
      </c>
      <c r="T29" s="6" cm="1">
        <f t="array" ref="T29">Comm_TBS(T7, T26, T27, T8, T9, T6/T15)</f>
        <v>606504</v>
      </c>
      <c r="U29" s="6" cm="1">
        <f t="array" ref="U29">Comm_TBS(U7, U26, U27, U8, U9, U6/U15)</f>
        <v>176208</v>
      </c>
      <c r="V29" s="6" cm="1">
        <f t="array" ref="V29">Comm_TBS(V7, V26, V27, V8, V9, V6/V15)</f>
        <v>32264</v>
      </c>
      <c r="W29" s="6" cm="1">
        <f t="array" ref="W29">Comm_TBS(W7, W26, W27, W8, W9, W6/W15)</f>
        <v>721000</v>
      </c>
      <c r="X29" s="6" cm="1">
        <f t="array" ref="X29">Comm_TBS(X7, X26, X27, X8, X9, X6/X15)</f>
        <v>204976</v>
      </c>
      <c r="Y29" s="6" cm="1">
        <f t="array" ref="Y29">Comm_TBS(Y7, Y26, Y27, Y8, Y9, Y6/Y15)</f>
        <v>36896</v>
      </c>
    </row>
    <row r="30" spans="2:25" x14ac:dyDescent="0.35">
      <c r="B30" s="1" t="s">
        <v>29</v>
      </c>
      <c r="D30" s="6" cm="1">
        <f t="array" ref="D30">Comm_CB(D7, D26, D27, D8, D9, D6/D15)</f>
        <v>129</v>
      </c>
      <c r="E30" s="6" cm="1">
        <f t="array" ref="E30">Comm_CB(E7, E26, E27, E8, E9, E6/E15)</f>
        <v>14</v>
      </c>
      <c r="F30" s="6" cm="1">
        <f t="array" ref="F30">Comm_CB(F7, F26, F27, F8, F9, F6/F15)</f>
        <v>5</v>
      </c>
      <c r="G30" s="6" cm="1">
        <f t="array" ref="G30">Comm_CB(G7, G26, G27, G8, G9, G6/G15)</f>
        <v>1</v>
      </c>
      <c r="H30" s="6" cm="1">
        <f t="array" ref="H30">Comm_CB(H7, H26, H27, H8, H9, H6/H15)</f>
        <v>27</v>
      </c>
      <c r="I30" s="6" cm="1">
        <f t="array" ref="I30">Comm_CB(I7, I26, I27, I8, I9, I6/I15)</f>
        <v>8</v>
      </c>
      <c r="J30" s="6" cm="1">
        <f t="array" ref="J30">Comm_CB(J7, J26, J27, J8, J9, J6/J15)</f>
        <v>2</v>
      </c>
      <c r="K30" s="6" cm="1">
        <f t="array" ref="K30">Comm_CB(K7, K26, K27, K8, K9, K6/K15)</f>
        <v>36</v>
      </c>
      <c r="L30" s="6" cm="1">
        <f t="array" ref="L30">Comm_CB(L7, L26, L27, L8, L9, L6/L15)</f>
        <v>11</v>
      </c>
      <c r="M30" s="6" cm="1">
        <f t="array" ref="M30">Comm_CB(M7, M26, M27, M8, M9, M6/M15)</f>
        <v>2</v>
      </c>
      <c r="N30" s="6" cm="1">
        <f t="array" ref="N30">Comm_CB(N7, N26, N27, N8, N9, N6/N15)</f>
        <v>50</v>
      </c>
      <c r="O30" s="6" cm="1">
        <f t="array" ref="O30">Comm_CB(O7, O26, O27, O8, O9, O6/O15)</f>
        <v>15</v>
      </c>
      <c r="P30" s="6" cm="1">
        <f t="array" ref="P30">Comm_CB(P7, P26, P27, P8, P9, P6/P15)</f>
        <v>3</v>
      </c>
      <c r="Q30" s="6" cm="1">
        <f t="array" ref="Q30">Comm_CB(Q7, Q26, Q27, Q8, Q9, Q6/Q15)</f>
        <v>60</v>
      </c>
      <c r="R30" s="6" cm="1">
        <f t="array" ref="R30">Comm_CB(R7, R26, R27, R8, R9, R6/R15)</f>
        <v>18</v>
      </c>
      <c r="S30" s="6" cm="1">
        <f t="array" ref="S30">Comm_CB(S7, S26, S27, S8, S9, S6/S15)</f>
        <v>4</v>
      </c>
      <c r="T30" s="6" cm="1">
        <f t="array" ref="T30">Comm_CB(T7, T26, T27, T8, T9, T6/T15)</f>
        <v>72</v>
      </c>
      <c r="U30" s="6" cm="1">
        <f t="array" ref="U30">Comm_CB(U7, U26, U27, U8, U9, U6/U15)</f>
        <v>21</v>
      </c>
      <c r="V30" s="6" cm="1">
        <f t="array" ref="V30">Comm_CB(V7, V26, V27, V8, V9, V6/V15)</f>
        <v>4</v>
      </c>
      <c r="W30" s="6" cm="1">
        <f t="array" ref="W30">Comm_CB(W7, W26, W27, W8, W9, W6/W15)</f>
        <v>86</v>
      </c>
      <c r="X30" s="6" cm="1">
        <f t="array" ref="X30">Comm_CB(X7, X26, X27, X8, X9, X6/X15)</f>
        <v>25</v>
      </c>
      <c r="Y30" s="6" cm="1">
        <f t="array" ref="Y30">Comm_CB(Y7, Y26, Y27, Y8, Y9, Y6/Y15)</f>
        <v>5</v>
      </c>
    </row>
    <row r="31" spans="2:25" x14ac:dyDescent="0.35">
      <c r="B31" s="1" t="s">
        <v>30</v>
      </c>
      <c r="D31" s="6" cm="1">
        <f t="array" ref="D31">Comm_Parity_Nodes(D7, D26, D27, D8, D9, D6/D15)</f>
        <v>4</v>
      </c>
      <c r="E31" s="6" cm="1">
        <f t="array" ref="E31">Comm_Parity_Nodes(E7, E26, E27, E8, E9, E6/E15)</f>
        <v>7</v>
      </c>
      <c r="F31" s="6" cm="1">
        <f t="array" ref="F31">Comm_Parity_Nodes(F7, F26, F27, F8, F9, F6/F15)</f>
        <v>20</v>
      </c>
      <c r="G31" s="6" cm="1">
        <f t="array" ref="G31">Comm_Parity_Nodes(G7, G26, G27, G8, G9, G6/G15)</f>
        <v>26</v>
      </c>
      <c r="H31" s="6" cm="1">
        <f t="array" ref="H31">Comm_Parity_Nodes(H7, H26, H27, H8, H9, H6/H15)</f>
        <v>7</v>
      </c>
      <c r="I31" s="6" cm="1">
        <f t="array" ref="I31">Comm_Parity_Nodes(I7, I26, I27, I8, I9, I6/I15)</f>
        <v>19</v>
      </c>
      <c r="J31" s="6" cm="1">
        <f t="array" ref="J31">Comm_Parity_Nodes(J7, J26, J27, J8, J9, J6/J15)</f>
        <v>25</v>
      </c>
      <c r="K31" s="6" cm="1">
        <f t="array" ref="K31">Comm_Parity_Nodes(K7, K26, K27, K8, K9, K6/K15)</f>
        <v>7</v>
      </c>
      <c r="L31" s="6" cm="1">
        <f t="array" ref="L31">Comm_Parity_Nodes(L7, L26, L27, L8, L9, L6/L15)</f>
        <v>20</v>
      </c>
      <c r="M31" s="6" cm="1">
        <f t="array" ref="M31">Comm_Parity_Nodes(M7, M26, M27, M8, M9, M6/M15)</f>
        <v>25</v>
      </c>
      <c r="N31" s="6" cm="1">
        <f t="array" ref="N31">Comm_Parity_Nodes(N7, N26, N27, N8, N9, N6/N15)</f>
        <v>7</v>
      </c>
      <c r="O31" s="6" cm="1">
        <f t="array" ref="O31">Comm_Parity_Nodes(O7, O26, O27, O8, O9, O6/O15)</f>
        <v>19</v>
      </c>
      <c r="P31" s="6" cm="1">
        <f t="array" ref="P31">Comm_Parity_Nodes(P7, P26, P27, P8, P9, P6/P15)</f>
        <v>26</v>
      </c>
      <c r="Q31" s="6" cm="1">
        <f t="array" ref="Q31">Comm_Parity_Nodes(Q7, Q26, Q27, Q8, Q9, Q6/Q15)</f>
        <v>7</v>
      </c>
      <c r="R31" s="6" cm="1">
        <f t="array" ref="R31">Comm_Parity_Nodes(R7, R26, R27, R8, R9, R6/R15)</f>
        <v>20</v>
      </c>
      <c r="S31" s="6" cm="1">
        <f t="array" ref="S31">Comm_Parity_Nodes(S7, S26, S27, S8, S9, S6/S15)</f>
        <v>25</v>
      </c>
      <c r="T31" s="6" cm="1">
        <f t="array" ref="T31">Comm_Parity_Nodes(T7, T26, T27, T8, T9, T6/T15)</f>
        <v>7</v>
      </c>
      <c r="U31" s="6" cm="1">
        <f t="array" ref="U31">Comm_Parity_Nodes(U7, U26, U27, U8, U9, U6/U15)</f>
        <v>20</v>
      </c>
      <c r="V31" s="6" cm="1">
        <f t="array" ref="V31">Comm_Parity_Nodes(V7, V26, V27, V8, V9, V6/V15)</f>
        <v>25</v>
      </c>
      <c r="W31" s="6" cm="1">
        <f t="array" ref="W31">Comm_Parity_Nodes(W7, W26, W27, W8, W9, W6/W15)</f>
        <v>7</v>
      </c>
      <c r="X31" s="6" cm="1">
        <f t="array" ref="X31">Comm_Parity_Nodes(X7, X26, X27, X8, X9, X6/X15)</f>
        <v>19</v>
      </c>
      <c r="Y31" s="6" cm="1">
        <f t="array" ref="Y31">Comm_Parity_Nodes(Y7, Y26, Y27, Y8, Y9, Y6/Y15)</f>
        <v>25</v>
      </c>
    </row>
    <row r="32" spans="2:25" x14ac:dyDescent="0.35">
      <c r="G32" s="6"/>
      <c r="J32" s="6"/>
      <c r="M32" s="6"/>
      <c r="P32" s="6"/>
      <c r="S32" s="6"/>
      <c r="V32" s="6"/>
      <c r="Y32" s="6"/>
    </row>
    <row r="33" spans="2:25" x14ac:dyDescent="0.35">
      <c r="B33" s="1" t="s">
        <v>102</v>
      </c>
      <c r="E33" s="6">
        <v>1</v>
      </c>
      <c r="F33" s="6">
        <v>1</v>
      </c>
      <c r="G33" s="6">
        <v>1</v>
      </c>
      <c r="H33" s="6">
        <v>2</v>
      </c>
      <c r="I33" s="6">
        <v>2</v>
      </c>
      <c r="J33" s="6">
        <v>2</v>
      </c>
      <c r="K33" s="6">
        <v>3</v>
      </c>
      <c r="L33" s="6">
        <v>3</v>
      </c>
      <c r="M33" s="6">
        <v>3</v>
      </c>
      <c r="N33" s="6">
        <v>4</v>
      </c>
      <c r="O33" s="6">
        <v>4</v>
      </c>
      <c r="P33" s="6">
        <v>4</v>
      </c>
      <c r="Q33" s="6">
        <v>5</v>
      </c>
      <c r="R33" s="6">
        <v>5</v>
      </c>
      <c r="S33" s="6">
        <v>5</v>
      </c>
      <c r="T33" s="6">
        <v>6</v>
      </c>
      <c r="U33" s="6">
        <v>6</v>
      </c>
      <c r="V33" s="6">
        <v>6</v>
      </c>
      <c r="W33" s="6">
        <v>7</v>
      </c>
      <c r="X33" s="6">
        <v>7</v>
      </c>
      <c r="Y33" s="6">
        <v>7</v>
      </c>
    </row>
    <row r="34" spans="2:25" x14ac:dyDescent="0.35">
      <c r="B34" s="1" t="s">
        <v>103</v>
      </c>
      <c r="E34" s="6">
        <v>0.3</v>
      </c>
      <c r="F34" s="6">
        <v>0.3</v>
      </c>
      <c r="G34" s="6">
        <v>0.3</v>
      </c>
      <c r="H34" s="6">
        <v>0.3</v>
      </c>
      <c r="I34" s="6">
        <v>0.3</v>
      </c>
      <c r="J34" s="6">
        <v>0.3</v>
      </c>
      <c r="K34" s="6">
        <v>0.3</v>
      </c>
      <c r="L34" s="6">
        <v>0.3</v>
      </c>
      <c r="M34" s="6">
        <v>0.3</v>
      </c>
      <c r="N34" s="6">
        <v>0.3</v>
      </c>
      <c r="O34" s="6">
        <v>0.3</v>
      </c>
      <c r="P34" s="6">
        <v>0.3</v>
      </c>
      <c r="Q34" s="6">
        <v>0.3</v>
      </c>
      <c r="R34" s="6">
        <v>0.3</v>
      </c>
      <c r="S34" s="6">
        <v>0.3</v>
      </c>
      <c r="T34" s="6">
        <v>0.3</v>
      </c>
      <c r="U34" s="6">
        <v>0.3</v>
      </c>
      <c r="V34" s="6">
        <v>0.3</v>
      </c>
      <c r="W34" s="6">
        <v>0.3</v>
      </c>
      <c r="X34" s="6">
        <v>0.3</v>
      </c>
      <c r="Y34" s="6">
        <v>0.3</v>
      </c>
    </row>
    <row r="35" spans="2:25" x14ac:dyDescent="0.35">
      <c r="B35" s="1" t="s">
        <v>104</v>
      </c>
      <c r="E35" s="6">
        <v>0.35</v>
      </c>
      <c r="F35" s="6">
        <v>0.4</v>
      </c>
      <c r="G35">
        <v>0.25</v>
      </c>
      <c r="H35" s="6">
        <v>0.35</v>
      </c>
      <c r="I35" s="6">
        <v>0.4</v>
      </c>
      <c r="J35">
        <v>0.25</v>
      </c>
      <c r="K35" s="6">
        <v>0.35</v>
      </c>
      <c r="L35" s="6">
        <v>0.4</v>
      </c>
      <c r="M35">
        <v>0.25</v>
      </c>
      <c r="N35" s="6">
        <v>0.35</v>
      </c>
      <c r="O35" s="6">
        <v>0.4</v>
      </c>
      <c r="P35">
        <v>0.25</v>
      </c>
      <c r="Q35" s="6">
        <v>0.35</v>
      </c>
      <c r="R35" s="6">
        <v>0.4</v>
      </c>
      <c r="S35">
        <v>0.25</v>
      </c>
      <c r="T35" s="6">
        <v>0.35</v>
      </c>
      <c r="U35" s="6">
        <v>0.4</v>
      </c>
      <c r="V35">
        <v>0.25</v>
      </c>
      <c r="W35" s="6">
        <v>0.35</v>
      </c>
      <c r="X35" s="6">
        <v>0.4</v>
      </c>
      <c r="Y35">
        <v>0.25</v>
      </c>
    </row>
    <row r="36" spans="2:25" x14ac:dyDescent="0.35">
      <c r="B36" s="12" t="s">
        <v>145</v>
      </c>
      <c r="D36" s="13" t="s">
        <v>189</v>
      </c>
      <c r="E36" s="13" t="s">
        <v>190</v>
      </c>
      <c r="F36" s="13" t="s">
        <v>191</v>
      </c>
      <c r="G36" s="13" t="s">
        <v>192</v>
      </c>
      <c r="H36" s="13" t="s">
        <v>193</v>
      </c>
      <c r="I36" s="13" t="s">
        <v>194</v>
      </c>
      <c r="J36" s="13" t="s">
        <v>195</v>
      </c>
      <c r="K36" s="13" t="s">
        <v>196</v>
      </c>
      <c r="L36" s="13" t="s">
        <v>197</v>
      </c>
      <c r="M36" s="13" t="s">
        <v>198</v>
      </c>
      <c r="N36" s="13" t="s">
        <v>199</v>
      </c>
      <c r="O36" s="13" t="s">
        <v>200</v>
      </c>
      <c r="P36" s="13" t="s">
        <v>201</v>
      </c>
      <c r="Q36" s="13" t="s">
        <v>202</v>
      </c>
      <c r="R36" s="13" t="s">
        <v>203</v>
      </c>
      <c r="S36" s="13" t="s">
        <v>204</v>
      </c>
      <c r="T36" s="13" t="s">
        <v>205</v>
      </c>
      <c r="U36" s="13" t="s">
        <v>206</v>
      </c>
      <c r="V36" s="13" t="s">
        <v>207</v>
      </c>
      <c r="W36" s="13" t="s">
        <v>208</v>
      </c>
      <c r="X36" s="13" t="s">
        <v>209</v>
      </c>
      <c r="Y36" s="13" t="s">
        <v>210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80706-42A3-9140-9703-E46CF9E27349}">
  <sheetPr codeName="Sheet6"/>
  <dimension ref="B1:Y36"/>
  <sheetViews>
    <sheetView topLeftCell="A12" zoomScale="162" zoomScaleNormal="100" workbookViewId="0">
      <selection activeCell="D8" sqref="D8"/>
    </sheetView>
  </sheetViews>
  <sheetFormatPr defaultColWidth="8.81640625" defaultRowHeight="14.5" x14ac:dyDescent="0.35"/>
  <cols>
    <col min="1" max="1" width="2.6328125" customWidth="1"/>
    <col min="2" max="2" width="28.81640625" customWidth="1"/>
    <col min="3" max="3" width="1.6328125" customWidth="1"/>
    <col min="4" max="25" width="12.6328125" style="6" customWidth="1"/>
  </cols>
  <sheetData>
    <row r="1" spans="2:25" x14ac:dyDescent="0.35"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2:25" x14ac:dyDescent="0.35">
      <c r="B2" s="3" t="s">
        <v>0</v>
      </c>
      <c r="D2" s="10" t="s">
        <v>211</v>
      </c>
      <c r="E2" s="10" t="s">
        <v>212</v>
      </c>
      <c r="F2" s="10" t="s">
        <v>213</v>
      </c>
      <c r="G2" s="10" t="s">
        <v>214</v>
      </c>
      <c r="H2" s="10" t="s">
        <v>215</v>
      </c>
      <c r="I2" s="10" t="s">
        <v>216</v>
      </c>
      <c r="J2" s="10" t="s">
        <v>217</v>
      </c>
      <c r="K2" s="10" t="s">
        <v>218</v>
      </c>
      <c r="L2" s="10" t="s">
        <v>219</v>
      </c>
      <c r="M2" s="10" t="s">
        <v>220</v>
      </c>
      <c r="N2" s="10" t="s">
        <v>221</v>
      </c>
      <c r="O2" s="10" t="s">
        <v>222</v>
      </c>
      <c r="P2" s="10" t="s">
        <v>223</v>
      </c>
      <c r="Q2" s="10" t="s">
        <v>224</v>
      </c>
      <c r="R2" s="10" t="s">
        <v>225</v>
      </c>
      <c r="S2" s="10" t="s">
        <v>226</v>
      </c>
      <c r="T2" s="10" t="s">
        <v>227</v>
      </c>
      <c r="U2" s="10" t="s">
        <v>228</v>
      </c>
      <c r="V2" s="10" t="s">
        <v>229</v>
      </c>
      <c r="W2" s="10" t="s">
        <v>230</v>
      </c>
      <c r="X2" s="10" t="s">
        <v>231</v>
      </c>
      <c r="Y2" s="10" t="s">
        <v>232</v>
      </c>
    </row>
    <row r="3" spans="2:25" x14ac:dyDescent="0.35">
      <c r="B3" s="4" t="s">
        <v>1</v>
      </c>
      <c r="D3" s="6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</row>
    <row r="4" spans="2:25" x14ac:dyDescent="0.35">
      <c r="B4" s="5" t="s">
        <v>2</v>
      </c>
      <c r="D4" s="6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</row>
    <row r="5" spans="2:25" x14ac:dyDescent="0.35">
      <c r="B5" s="5" t="s">
        <v>3</v>
      </c>
      <c r="D5" s="6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  <c r="K5">
        <v>4</v>
      </c>
      <c r="L5">
        <v>4</v>
      </c>
      <c r="M5">
        <v>4</v>
      </c>
      <c r="N5">
        <v>4</v>
      </c>
      <c r="O5">
        <v>4</v>
      </c>
      <c r="P5">
        <v>4</v>
      </c>
      <c r="Q5">
        <v>4</v>
      </c>
      <c r="R5">
        <v>4</v>
      </c>
      <c r="S5">
        <v>4</v>
      </c>
      <c r="T5">
        <v>4</v>
      </c>
      <c r="U5">
        <v>4</v>
      </c>
      <c r="V5">
        <v>4</v>
      </c>
      <c r="W5">
        <v>4</v>
      </c>
      <c r="X5">
        <v>4</v>
      </c>
      <c r="Y5">
        <v>4</v>
      </c>
    </row>
    <row r="6" spans="2:25" x14ac:dyDescent="0.35">
      <c r="B6" s="5" t="s">
        <v>4</v>
      </c>
      <c r="D6" s="6">
        <v>2</v>
      </c>
      <c r="E6">
        <v>2</v>
      </c>
      <c r="F6">
        <v>1</v>
      </c>
      <c r="G6">
        <v>1</v>
      </c>
      <c r="H6">
        <v>2</v>
      </c>
      <c r="I6">
        <v>1</v>
      </c>
      <c r="J6">
        <v>1</v>
      </c>
      <c r="K6">
        <v>2</v>
      </c>
      <c r="L6">
        <v>1</v>
      </c>
      <c r="M6">
        <v>1</v>
      </c>
      <c r="N6">
        <v>2</v>
      </c>
      <c r="O6">
        <v>1</v>
      </c>
      <c r="P6">
        <v>1</v>
      </c>
      <c r="Q6">
        <v>2</v>
      </c>
      <c r="R6">
        <v>1</v>
      </c>
      <c r="S6">
        <v>1</v>
      </c>
      <c r="T6">
        <v>2</v>
      </c>
      <c r="U6">
        <v>1</v>
      </c>
      <c r="V6">
        <v>1</v>
      </c>
      <c r="W6">
        <v>2</v>
      </c>
      <c r="X6">
        <v>1</v>
      </c>
      <c r="Y6">
        <v>1</v>
      </c>
    </row>
    <row r="7" spans="2:25" x14ac:dyDescent="0.35">
      <c r="B7" s="4" t="s">
        <v>5</v>
      </c>
      <c r="D7" s="6">
        <v>272</v>
      </c>
      <c r="E7">
        <f>8 * CEILING(E33 * $D$7 * E34 *E35 / 8,1)</f>
        <v>32</v>
      </c>
      <c r="F7">
        <f t="shared" ref="F7:Y7" si="0">8 * CEILING(F33 * $D$7 * F34 *F35 / 8,1)</f>
        <v>40</v>
      </c>
      <c r="G7">
        <f t="shared" si="0"/>
        <v>24</v>
      </c>
      <c r="H7">
        <f t="shared" si="0"/>
        <v>64</v>
      </c>
      <c r="I7">
        <f t="shared" si="0"/>
        <v>72</v>
      </c>
      <c r="J7">
        <f t="shared" si="0"/>
        <v>48</v>
      </c>
      <c r="K7">
        <f t="shared" si="0"/>
        <v>88</v>
      </c>
      <c r="L7">
        <f t="shared" si="0"/>
        <v>104</v>
      </c>
      <c r="M7">
        <f t="shared" si="0"/>
        <v>64</v>
      </c>
      <c r="N7">
        <f t="shared" si="0"/>
        <v>120</v>
      </c>
      <c r="O7">
        <f t="shared" si="0"/>
        <v>136</v>
      </c>
      <c r="P7">
        <f t="shared" si="0"/>
        <v>88</v>
      </c>
      <c r="Q7">
        <f t="shared" si="0"/>
        <v>144</v>
      </c>
      <c r="R7">
        <f t="shared" si="0"/>
        <v>168</v>
      </c>
      <c r="S7">
        <f t="shared" si="0"/>
        <v>104</v>
      </c>
      <c r="T7">
        <f t="shared" si="0"/>
        <v>176</v>
      </c>
      <c r="U7">
        <f t="shared" si="0"/>
        <v>200</v>
      </c>
      <c r="V7">
        <f t="shared" si="0"/>
        <v>128</v>
      </c>
      <c r="W7">
        <f t="shared" si="0"/>
        <v>200</v>
      </c>
      <c r="X7">
        <f t="shared" si="0"/>
        <v>232</v>
      </c>
      <c r="Y7">
        <f t="shared" si="0"/>
        <v>144</v>
      </c>
    </row>
    <row r="8" spans="2:25" x14ac:dyDescent="0.35">
      <c r="B8" s="4" t="s">
        <v>31</v>
      </c>
      <c r="D8" s="6">
        <v>13</v>
      </c>
      <c r="E8">
        <v>13</v>
      </c>
      <c r="F8">
        <v>13</v>
      </c>
      <c r="G8">
        <v>13</v>
      </c>
      <c r="H8">
        <v>13</v>
      </c>
      <c r="I8">
        <v>13</v>
      </c>
      <c r="J8">
        <v>13</v>
      </c>
      <c r="K8">
        <v>13</v>
      </c>
      <c r="L8">
        <v>13</v>
      </c>
      <c r="M8">
        <v>13</v>
      </c>
      <c r="N8">
        <v>13</v>
      </c>
      <c r="O8">
        <v>13</v>
      </c>
      <c r="P8">
        <v>13</v>
      </c>
      <c r="Q8">
        <v>13</v>
      </c>
      <c r="R8">
        <v>13</v>
      </c>
      <c r="S8">
        <v>13</v>
      </c>
      <c r="T8">
        <v>13</v>
      </c>
      <c r="U8">
        <v>13</v>
      </c>
      <c r="V8">
        <v>13</v>
      </c>
      <c r="W8">
        <v>13</v>
      </c>
      <c r="X8">
        <v>13</v>
      </c>
      <c r="Y8">
        <v>13</v>
      </c>
    </row>
    <row r="9" spans="2:25" x14ac:dyDescent="0.35">
      <c r="B9" s="4" t="s">
        <v>32</v>
      </c>
      <c r="D9" s="6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</row>
    <row r="10" spans="2:25" x14ac:dyDescent="0.35">
      <c r="B10" s="9" t="s">
        <v>8</v>
      </c>
      <c r="D10" s="6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</row>
    <row r="11" spans="2:25" x14ac:dyDescent="0.35">
      <c r="B11" s="9" t="s">
        <v>35</v>
      </c>
      <c r="D11" s="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2:25" x14ac:dyDescent="0.35">
      <c r="B12" s="4" t="s">
        <v>165</v>
      </c>
      <c r="D12" s="6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</row>
    <row r="13" spans="2:25" x14ac:dyDescent="0.35">
      <c r="B13" s="4" t="s">
        <v>166</v>
      </c>
      <c r="D13" s="6">
        <v>27</v>
      </c>
      <c r="E13">
        <v>24</v>
      </c>
      <c r="F13">
        <v>13</v>
      </c>
      <c r="G13">
        <v>7</v>
      </c>
      <c r="H13">
        <v>24</v>
      </c>
      <c r="I13">
        <v>13</v>
      </c>
      <c r="J13">
        <v>7</v>
      </c>
      <c r="K13">
        <v>24</v>
      </c>
      <c r="L13">
        <v>13</v>
      </c>
      <c r="M13">
        <v>7</v>
      </c>
      <c r="N13">
        <v>24</v>
      </c>
      <c r="O13">
        <v>13</v>
      </c>
      <c r="P13">
        <v>7</v>
      </c>
      <c r="Q13">
        <v>24</v>
      </c>
      <c r="R13">
        <v>13</v>
      </c>
      <c r="S13">
        <v>7</v>
      </c>
      <c r="T13">
        <v>24</v>
      </c>
      <c r="U13">
        <v>13</v>
      </c>
      <c r="V13">
        <v>7</v>
      </c>
      <c r="W13">
        <v>24</v>
      </c>
      <c r="X13">
        <v>13</v>
      </c>
      <c r="Y13">
        <v>7</v>
      </c>
    </row>
    <row r="14" spans="2:25" x14ac:dyDescent="0.35">
      <c r="B14" s="4" t="s">
        <v>12</v>
      </c>
      <c r="D14" s="6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</row>
    <row r="15" spans="2:25" x14ac:dyDescent="0.35">
      <c r="B15" s="4" t="s">
        <v>13</v>
      </c>
      <c r="D15" s="6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</row>
    <row r="16" spans="2:25" x14ac:dyDescent="0.35">
      <c r="B16" s="4" t="s">
        <v>14</v>
      </c>
      <c r="D16" s="6">
        <v>2</v>
      </c>
      <c r="E16">
        <v>2</v>
      </c>
      <c r="F16">
        <v>1</v>
      </c>
      <c r="G16">
        <v>1</v>
      </c>
      <c r="H16">
        <v>2</v>
      </c>
      <c r="I16">
        <v>1</v>
      </c>
      <c r="J16">
        <v>1</v>
      </c>
      <c r="K16">
        <v>2</v>
      </c>
      <c r="L16">
        <v>1</v>
      </c>
      <c r="M16">
        <v>1</v>
      </c>
      <c r="N16">
        <v>2</v>
      </c>
      <c r="O16">
        <v>1</v>
      </c>
      <c r="P16">
        <v>1</v>
      </c>
      <c r="Q16">
        <v>2</v>
      </c>
      <c r="R16">
        <v>1</v>
      </c>
      <c r="S16">
        <v>1</v>
      </c>
      <c r="T16">
        <v>2</v>
      </c>
      <c r="U16">
        <v>1</v>
      </c>
      <c r="V16">
        <v>1</v>
      </c>
      <c r="W16">
        <v>2</v>
      </c>
      <c r="X16">
        <v>1</v>
      </c>
      <c r="Y16">
        <v>1</v>
      </c>
    </row>
    <row r="17" spans="2:25" x14ac:dyDescent="0.35">
      <c r="B17" s="4" t="s">
        <v>33</v>
      </c>
      <c r="D17" s="6" t="s">
        <v>34</v>
      </c>
      <c r="E17" s="6" t="s">
        <v>34</v>
      </c>
      <c r="F17" s="6" t="s">
        <v>34</v>
      </c>
      <c r="G17" s="6" t="s">
        <v>34</v>
      </c>
      <c r="H17" s="6" t="s">
        <v>34</v>
      </c>
      <c r="I17" s="6" t="s">
        <v>34</v>
      </c>
      <c r="J17" s="6" t="s">
        <v>34</v>
      </c>
      <c r="K17" s="6" t="s">
        <v>34</v>
      </c>
      <c r="L17" s="6" t="s">
        <v>34</v>
      </c>
      <c r="M17" s="6" t="s">
        <v>34</v>
      </c>
      <c r="N17" s="6" t="s">
        <v>34</v>
      </c>
      <c r="O17" s="6" t="s">
        <v>34</v>
      </c>
      <c r="P17" s="6" t="s">
        <v>34</v>
      </c>
      <c r="Q17" s="6" t="s">
        <v>34</v>
      </c>
      <c r="R17" s="6" t="s">
        <v>34</v>
      </c>
      <c r="S17" s="6" t="s">
        <v>34</v>
      </c>
      <c r="T17" s="6" t="s">
        <v>34</v>
      </c>
      <c r="U17" s="6" t="s">
        <v>34</v>
      </c>
      <c r="V17" s="6" t="s">
        <v>34</v>
      </c>
      <c r="W17" s="6" t="s">
        <v>34</v>
      </c>
      <c r="X17" s="6" t="s">
        <v>34</v>
      </c>
      <c r="Y17" s="6" t="s">
        <v>34</v>
      </c>
    </row>
    <row r="18" spans="2:25" x14ac:dyDescent="0.35">
      <c r="B18" s="9" t="s">
        <v>16</v>
      </c>
      <c r="D18" s="6" t="s">
        <v>17</v>
      </c>
      <c r="E18" s="6" t="s">
        <v>17</v>
      </c>
      <c r="F18" s="6" t="s">
        <v>17</v>
      </c>
      <c r="G18" s="6" t="s">
        <v>17</v>
      </c>
      <c r="H18" s="6" t="s">
        <v>17</v>
      </c>
      <c r="I18" s="6" t="s">
        <v>17</v>
      </c>
      <c r="J18" s="6" t="s">
        <v>17</v>
      </c>
      <c r="K18" s="6" t="s">
        <v>17</v>
      </c>
      <c r="L18" s="6" t="s">
        <v>17</v>
      </c>
      <c r="M18" s="6" t="s">
        <v>17</v>
      </c>
      <c r="N18" s="6" t="s">
        <v>17</v>
      </c>
      <c r="O18" s="6" t="s">
        <v>17</v>
      </c>
      <c r="P18" s="6" t="s">
        <v>17</v>
      </c>
      <c r="Q18" s="6" t="s">
        <v>17</v>
      </c>
      <c r="R18" s="6" t="s">
        <v>17</v>
      </c>
      <c r="S18" s="6" t="s">
        <v>17</v>
      </c>
      <c r="T18" s="6" t="s">
        <v>17</v>
      </c>
      <c r="U18" s="6" t="s">
        <v>17</v>
      </c>
      <c r="V18" s="6" t="s">
        <v>17</v>
      </c>
      <c r="W18" s="6" t="s">
        <v>17</v>
      </c>
      <c r="X18" s="6" t="s">
        <v>17</v>
      </c>
      <c r="Y18" s="6" t="s">
        <v>17</v>
      </c>
    </row>
    <row r="19" spans="2:25" x14ac:dyDescent="0.35">
      <c r="B19" s="4" t="s">
        <v>18</v>
      </c>
      <c r="D19" s="6" t="s">
        <v>17</v>
      </c>
      <c r="E19" s="6" t="s">
        <v>17</v>
      </c>
      <c r="F19" s="6" t="s">
        <v>17</v>
      </c>
      <c r="G19" s="6" t="s">
        <v>17</v>
      </c>
      <c r="H19" s="6" t="s">
        <v>17</v>
      </c>
      <c r="I19" s="6" t="s">
        <v>17</v>
      </c>
      <c r="J19" s="6" t="s">
        <v>17</v>
      </c>
      <c r="K19" s="6" t="s">
        <v>17</v>
      </c>
      <c r="L19" s="6" t="s">
        <v>17</v>
      </c>
      <c r="M19" s="6" t="s">
        <v>17</v>
      </c>
      <c r="N19" s="6" t="s">
        <v>17</v>
      </c>
      <c r="O19" s="6" t="s">
        <v>17</v>
      </c>
      <c r="P19" s="6" t="s">
        <v>17</v>
      </c>
      <c r="Q19" s="6" t="s">
        <v>17</v>
      </c>
      <c r="R19" s="6" t="s">
        <v>17</v>
      </c>
      <c r="S19" s="6" t="s">
        <v>17</v>
      </c>
      <c r="T19" s="6" t="s">
        <v>17</v>
      </c>
      <c r="U19" s="6" t="s">
        <v>17</v>
      </c>
      <c r="V19" s="6" t="s">
        <v>17</v>
      </c>
      <c r="W19" s="6" t="s">
        <v>17</v>
      </c>
      <c r="X19" s="6" t="s">
        <v>17</v>
      </c>
      <c r="Y19" s="6" t="s">
        <v>17</v>
      </c>
    </row>
    <row r="20" spans="2:25" x14ac:dyDescent="0.35">
      <c r="B20" s="4" t="s">
        <v>19</v>
      </c>
      <c r="D20" s="6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</row>
    <row r="21" spans="2:25" x14ac:dyDescent="0.35">
      <c r="B21" s="2" t="s">
        <v>20</v>
      </c>
      <c r="D21" s="8"/>
      <c r="E21" s="8"/>
      <c r="F21" s="11"/>
      <c r="G21" s="11"/>
      <c r="H21" s="8"/>
      <c r="I21" s="11"/>
      <c r="J21" s="11"/>
      <c r="K21" s="8"/>
      <c r="L21" s="11"/>
      <c r="M21" s="11"/>
      <c r="N21" s="8"/>
      <c r="O21" s="11"/>
      <c r="P21" s="11"/>
      <c r="Q21" s="8"/>
      <c r="R21" s="11"/>
      <c r="S21" s="11"/>
      <c r="T21" s="8"/>
      <c r="U21" s="11"/>
      <c r="V21" s="11"/>
      <c r="W21" s="8"/>
      <c r="X21" s="11"/>
      <c r="Y21" s="11"/>
    </row>
    <row r="22" spans="2:25" x14ac:dyDescent="0.35">
      <c r="B22" s="7" t="s">
        <v>21</v>
      </c>
      <c r="D22" s="6" t="s">
        <v>22</v>
      </c>
      <c r="E22" s="6" t="s">
        <v>22</v>
      </c>
      <c r="F22" s="6" t="s">
        <v>22</v>
      </c>
      <c r="G22" s="6" t="s">
        <v>22</v>
      </c>
      <c r="H22" s="6" t="s">
        <v>22</v>
      </c>
      <c r="I22" s="6" t="s">
        <v>22</v>
      </c>
      <c r="J22" s="6" t="s">
        <v>22</v>
      </c>
      <c r="K22" s="6" t="s">
        <v>22</v>
      </c>
      <c r="L22" s="6" t="s">
        <v>22</v>
      </c>
      <c r="M22" s="6" t="s">
        <v>22</v>
      </c>
      <c r="N22" s="6" t="s">
        <v>22</v>
      </c>
      <c r="O22" s="6" t="s">
        <v>22</v>
      </c>
      <c r="P22" s="6" t="s">
        <v>22</v>
      </c>
      <c r="Q22" s="6" t="s">
        <v>22</v>
      </c>
      <c r="R22" s="6" t="s">
        <v>22</v>
      </c>
      <c r="S22" s="6" t="s">
        <v>22</v>
      </c>
      <c r="T22" s="6" t="s">
        <v>22</v>
      </c>
      <c r="U22" s="6" t="s">
        <v>22</v>
      </c>
      <c r="V22" s="6" t="s">
        <v>22</v>
      </c>
      <c r="W22" s="6" t="s">
        <v>22</v>
      </c>
      <c r="X22" s="6" t="s">
        <v>22</v>
      </c>
      <c r="Y22" s="6" t="s">
        <v>22</v>
      </c>
    </row>
    <row r="23" spans="2:25" x14ac:dyDescent="0.35">
      <c r="B23" s="7" t="s">
        <v>23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</row>
    <row r="24" spans="2:25" x14ac:dyDescent="0.35">
      <c r="B24" s="7" t="s">
        <v>24</v>
      </c>
      <c r="D24" s="6" t="s">
        <v>25</v>
      </c>
      <c r="E24" s="6" t="s">
        <v>25</v>
      </c>
      <c r="F24" s="6" t="s">
        <v>25</v>
      </c>
      <c r="G24" s="6" t="s">
        <v>25</v>
      </c>
      <c r="H24" s="6" t="s">
        <v>25</v>
      </c>
      <c r="I24" s="6" t="s">
        <v>25</v>
      </c>
      <c r="J24" s="6" t="s">
        <v>25</v>
      </c>
      <c r="K24" s="6" t="s">
        <v>25</v>
      </c>
      <c r="L24" s="6" t="s">
        <v>25</v>
      </c>
      <c r="M24" s="6" t="s">
        <v>25</v>
      </c>
      <c r="N24" s="6" t="s">
        <v>25</v>
      </c>
      <c r="O24" s="6" t="s">
        <v>25</v>
      </c>
      <c r="P24" s="6" t="s">
        <v>25</v>
      </c>
      <c r="Q24" s="6" t="s">
        <v>25</v>
      </c>
      <c r="R24" s="6" t="s">
        <v>25</v>
      </c>
      <c r="S24" s="6" t="s">
        <v>25</v>
      </c>
      <c r="T24" s="6" t="s">
        <v>25</v>
      </c>
      <c r="U24" s="6" t="s">
        <v>25</v>
      </c>
      <c r="V24" s="6" t="s">
        <v>25</v>
      </c>
      <c r="W24" s="6" t="s">
        <v>25</v>
      </c>
      <c r="X24" s="6" t="s">
        <v>25</v>
      </c>
      <c r="Y24" s="6" t="s">
        <v>25</v>
      </c>
    </row>
    <row r="25" spans="2:25" x14ac:dyDescent="0.35">
      <c r="B25" s="2" t="s">
        <v>26</v>
      </c>
      <c r="D25" s="8"/>
      <c r="E25" s="8"/>
      <c r="F25" s="11"/>
      <c r="G25" s="11"/>
      <c r="H25" s="8"/>
      <c r="I25" s="11"/>
      <c r="J25" s="11"/>
      <c r="K25" s="8"/>
      <c r="L25" s="11"/>
      <c r="M25" s="11"/>
      <c r="N25" s="8"/>
      <c r="O25" s="11"/>
      <c r="P25" s="11"/>
      <c r="Q25" s="8"/>
      <c r="R25" s="11"/>
      <c r="S25" s="11"/>
      <c r="T25" s="8"/>
      <c r="U25" s="11"/>
      <c r="V25" s="11"/>
      <c r="W25" s="8"/>
      <c r="X25" s="11"/>
      <c r="Y25" s="11"/>
    </row>
    <row r="26" spans="2:25" x14ac:dyDescent="0.35">
      <c r="B26" s="14" t="s">
        <v>10</v>
      </c>
      <c r="D26" s="6" cm="1">
        <f t="array" ref="D26">Comm_MCS_ModOrd(D12,D13)</f>
        <v>8</v>
      </c>
      <c r="E26" s="6" cm="1">
        <f t="array" ref="E26">Comm_MCS_ModOrd(E12,E13)</f>
        <v>8</v>
      </c>
      <c r="F26" s="6" cm="1">
        <f t="array" ref="F26">Comm_MCS_ModOrd(F12,F13)</f>
        <v>6</v>
      </c>
      <c r="G26" s="6" cm="1">
        <f t="array" ref="G26">Comm_MCS_ModOrd(G12,G13)</f>
        <v>4</v>
      </c>
      <c r="H26" s="6" cm="1">
        <f t="array" ref="H26">Comm_MCS_ModOrd(H12,H13)</f>
        <v>8</v>
      </c>
      <c r="I26" s="6" cm="1">
        <f t="array" ref="I26">Comm_MCS_ModOrd(I12,I13)</f>
        <v>6</v>
      </c>
      <c r="J26" s="6" cm="1">
        <f t="array" ref="J26">Comm_MCS_ModOrd(J12,J13)</f>
        <v>4</v>
      </c>
      <c r="K26" s="6" cm="1">
        <f t="array" ref="K26">Comm_MCS_ModOrd(K12,K13)</f>
        <v>8</v>
      </c>
      <c r="L26" s="6" cm="1">
        <f t="array" ref="L26">Comm_MCS_ModOrd(L12,L13)</f>
        <v>6</v>
      </c>
      <c r="M26" s="6" cm="1">
        <f t="array" ref="M26">Comm_MCS_ModOrd(M12,M13)</f>
        <v>4</v>
      </c>
      <c r="N26" s="6" cm="1">
        <f t="array" ref="N26">Comm_MCS_ModOrd(N12,N13)</f>
        <v>8</v>
      </c>
      <c r="O26" s="6" cm="1">
        <f t="array" ref="O26">Comm_MCS_ModOrd(O12,O13)</f>
        <v>6</v>
      </c>
      <c r="P26" s="6" cm="1">
        <f t="array" ref="P26">Comm_MCS_ModOrd(P12,P13)</f>
        <v>4</v>
      </c>
      <c r="Q26" s="6" cm="1">
        <f t="array" ref="Q26">Comm_MCS_ModOrd(Q12,Q13)</f>
        <v>8</v>
      </c>
      <c r="R26" s="6" cm="1">
        <f t="array" ref="R26">Comm_MCS_ModOrd(R12,R13)</f>
        <v>6</v>
      </c>
      <c r="S26" s="6" cm="1">
        <f t="array" ref="S26">Comm_MCS_ModOrd(S12,S13)</f>
        <v>4</v>
      </c>
      <c r="T26" s="6" cm="1">
        <f t="array" ref="T26">Comm_MCS_ModOrd(T12,T13)</f>
        <v>8</v>
      </c>
      <c r="U26" s="6" cm="1">
        <f t="array" ref="U26">Comm_MCS_ModOrd(U12,U13)</f>
        <v>6</v>
      </c>
      <c r="V26" s="6" cm="1">
        <f t="array" ref="V26">Comm_MCS_ModOrd(V12,V13)</f>
        <v>4</v>
      </c>
      <c r="W26" s="6" cm="1">
        <f t="array" ref="W26">Comm_MCS_ModOrd(W12,W13)</f>
        <v>8</v>
      </c>
      <c r="X26" s="6" cm="1">
        <f t="array" ref="X26">Comm_MCS_ModOrd(X12,X13)</f>
        <v>6</v>
      </c>
      <c r="Y26" s="6" cm="1">
        <f t="array" ref="Y26">Comm_MCS_ModOrd(Y12,Y13)</f>
        <v>4</v>
      </c>
    </row>
    <row r="27" spans="2:25" x14ac:dyDescent="0.35">
      <c r="B27" s="14" t="s">
        <v>11</v>
      </c>
      <c r="D27" s="6" cm="1">
        <f t="array" ref="D27">Comm_MCS_CodeRate(D12,D13)</f>
        <v>948</v>
      </c>
      <c r="E27" s="6" cm="1">
        <f t="array" ref="E27">Comm_MCS_CodeRate(E12,E13)</f>
        <v>841</v>
      </c>
      <c r="F27" s="6" cm="1">
        <f t="array" ref="F27">Comm_MCS_CodeRate(F12,F13)</f>
        <v>567</v>
      </c>
      <c r="G27" s="6" cm="1">
        <f t="array" ref="G27">Comm_MCS_CodeRate(G12,G13)</f>
        <v>490</v>
      </c>
      <c r="H27" s="6" cm="1">
        <f t="array" ref="H27">Comm_MCS_CodeRate(H12,H13)</f>
        <v>841</v>
      </c>
      <c r="I27" s="6" cm="1">
        <f t="array" ref="I27">Comm_MCS_CodeRate(I12,I13)</f>
        <v>567</v>
      </c>
      <c r="J27" s="6" cm="1">
        <f t="array" ref="J27">Comm_MCS_CodeRate(J12,J13)</f>
        <v>490</v>
      </c>
      <c r="K27" s="6" cm="1">
        <f t="array" ref="K27">Comm_MCS_CodeRate(K12,K13)</f>
        <v>841</v>
      </c>
      <c r="L27" s="6" cm="1">
        <f t="array" ref="L27">Comm_MCS_CodeRate(L12,L13)</f>
        <v>567</v>
      </c>
      <c r="M27" s="6" cm="1">
        <f t="array" ref="M27">Comm_MCS_CodeRate(M12,M13)</f>
        <v>490</v>
      </c>
      <c r="N27" s="6" cm="1">
        <f t="array" ref="N27">Comm_MCS_CodeRate(N12,N13)</f>
        <v>841</v>
      </c>
      <c r="O27" s="6" cm="1">
        <f t="array" ref="O27">Comm_MCS_CodeRate(O12,O13)</f>
        <v>567</v>
      </c>
      <c r="P27" s="6" cm="1">
        <f t="array" ref="P27">Comm_MCS_CodeRate(P12,P13)</f>
        <v>490</v>
      </c>
      <c r="Q27" s="6" cm="1">
        <f t="array" ref="Q27">Comm_MCS_CodeRate(Q12,Q13)</f>
        <v>841</v>
      </c>
      <c r="R27" s="6" cm="1">
        <f t="array" ref="R27">Comm_MCS_CodeRate(R12,R13)</f>
        <v>567</v>
      </c>
      <c r="S27" s="6" cm="1">
        <f t="array" ref="S27">Comm_MCS_CodeRate(S12,S13)</f>
        <v>490</v>
      </c>
      <c r="T27" s="6" cm="1">
        <f t="array" ref="T27">Comm_MCS_CodeRate(T12,T13)</f>
        <v>841</v>
      </c>
      <c r="U27" s="6" cm="1">
        <f t="array" ref="U27">Comm_MCS_CodeRate(U12,U13)</f>
        <v>567</v>
      </c>
      <c r="V27" s="6" cm="1">
        <f t="array" ref="V27">Comm_MCS_CodeRate(V12,V13)</f>
        <v>490</v>
      </c>
      <c r="W27" s="6" cm="1">
        <f t="array" ref="W27">Comm_MCS_CodeRate(W12,W13)</f>
        <v>841</v>
      </c>
      <c r="X27" s="6" cm="1">
        <f t="array" ref="X27">Comm_MCS_CodeRate(X12,X13)</f>
        <v>567</v>
      </c>
      <c r="Y27" s="6" cm="1">
        <f t="array" ref="Y27">Comm_MCS_CodeRate(Y12,Y13)</f>
        <v>490</v>
      </c>
    </row>
    <row r="28" spans="2:25" x14ac:dyDescent="0.35">
      <c r="B28" s="1" t="s">
        <v>27</v>
      </c>
      <c r="D28" s="6" cm="1">
        <f t="array" ref="D28">Comm_Z(D7, D26, D27, D8, D9, D6/D15)</f>
        <v>384</v>
      </c>
      <c r="E28" s="6" cm="1">
        <f t="array" ref="E28">Comm_Z(E7, E26, E27, E8, E9, E6/E15)</f>
        <v>352</v>
      </c>
      <c r="F28" s="6" cm="1">
        <f t="array" ref="F28">Comm_Z(F7, F26, F27, F8, F9, F6/F15)</f>
        <v>320</v>
      </c>
      <c r="G28" s="6" cm="1">
        <f t="array" ref="G28">Comm_Z(G7, G26, G27, G8, G9, G6/G15)</f>
        <v>320</v>
      </c>
      <c r="H28" s="6" cm="1">
        <f t="array" ref="H28">Comm_Z(H7, H26, H27, H8, H9, H6/H15)</f>
        <v>384</v>
      </c>
      <c r="I28" s="6" cm="1">
        <f t="array" ref="I28">Comm_Z(I7, I26, I27, I8, I9, I6/I15)</f>
        <v>320</v>
      </c>
      <c r="J28" s="6" cm="1">
        <f t="array" ref="J28">Comm_Z(J7, J26, J27, J8, J9, J6/J15)</f>
        <v>320</v>
      </c>
      <c r="K28" s="6" cm="1">
        <f t="array" ref="K28">Comm_Z(K7, K26, K27, K8, K9, K6/K15)</f>
        <v>384</v>
      </c>
      <c r="L28" s="6" cm="1">
        <f t="array" ref="L28">Comm_Z(L7, L26, L27, L8, L9, L6/L15)</f>
        <v>384</v>
      </c>
      <c r="M28" s="6" cm="1">
        <f t="array" ref="M28">Comm_Z(M7, M26, M27, M8, M9, M6/M15)</f>
        <v>288</v>
      </c>
      <c r="N28" s="6" cm="1">
        <f t="array" ref="N28">Comm_Z(N7, N26, N27, N8, N9, N6/N15)</f>
        <v>384</v>
      </c>
      <c r="O28" s="6" cm="1">
        <f t="array" ref="O28">Comm_Z(O7, O26, O27, O8, O9, O6/O15)</f>
        <v>384</v>
      </c>
      <c r="P28" s="6" cm="1">
        <f t="array" ref="P28">Comm_Z(P7, P26, P27, P8, P9, P6/P15)</f>
        <v>384</v>
      </c>
      <c r="Q28" s="6" cm="1">
        <f t="array" ref="Q28">Comm_Z(Q7, Q26, Q27, Q8, Q9, Q6/Q15)</f>
        <v>384</v>
      </c>
      <c r="R28" s="6" cm="1">
        <f t="array" ref="R28">Comm_Z(R7, R26, R27, R8, R9, R6/R15)</f>
        <v>384</v>
      </c>
      <c r="S28" s="6" cm="1">
        <f t="array" ref="S28">Comm_Z(S7, S26, S27, S8, S9, S6/S15)</f>
        <v>352</v>
      </c>
      <c r="T28" s="6" cm="1">
        <f t="array" ref="T28">Comm_Z(T7, T26, T27, T8, T9, T6/T15)</f>
        <v>384</v>
      </c>
      <c r="U28" s="6" cm="1">
        <f t="array" ref="U28">Comm_Z(U7, U26, U27, U8, U9, U6/U15)</f>
        <v>384</v>
      </c>
      <c r="V28" s="6" cm="1">
        <f t="array" ref="V28">Comm_Z(V7, V26, V27, V8, V9, V6/V15)</f>
        <v>320</v>
      </c>
      <c r="W28" s="6" cm="1">
        <f t="array" ref="W28">Comm_Z(W7, W26, W27, W8, W9, W6/W15)</f>
        <v>384</v>
      </c>
      <c r="X28" s="6" cm="1">
        <f t="array" ref="X28">Comm_Z(X7, X26, X27, X8, X9, X6/X15)</f>
        <v>384</v>
      </c>
      <c r="Y28" s="6" cm="1">
        <f t="array" ref="Y28">Comm_Z(Y7, Y26, Y27, Y8, Y9, Y6/Y15)</f>
        <v>384</v>
      </c>
    </row>
    <row r="29" spans="2:25" x14ac:dyDescent="0.35">
      <c r="B29" s="1" t="s">
        <v>28</v>
      </c>
      <c r="D29" s="6" cm="1">
        <f t="array" ref="D29">Comm_TBS(D7, D26, D27, D8, D9, D6/D15)</f>
        <v>573504</v>
      </c>
      <c r="E29" s="6" cm="1">
        <f t="array" ref="E29">Comm_TBS(E7, E26, E27, E8, E9, E6/E15)</f>
        <v>60456</v>
      </c>
      <c r="F29" s="6" cm="1">
        <f t="array" ref="F29">Comm_TBS(F7, F26, F27, F8, F9, F6/F15)</f>
        <v>18960</v>
      </c>
      <c r="G29" s="6" cm="1">
        <f t="array" ref="G29">Comm_TBS(G7, G26, G27, G8, G9, G6/G15)</f>
        <v>6528</v>
      </c>
      <c r="H29" s="6" cm="1">
        <f t="array" ref="H29">Comm_TBS(H7, H26, H27, H8, H9, H6/H15)</f>
        <v>120936</v>
      </c>
      <c r="I29" s="6" cm="1">
        <f t="array" ref="I29">Comm_TBS(I7, I26, I27, I8, I9, I6/I15)</f>
        <v>34816</v>
      </c>
      <c r="J29" s="6" cm="1">
        <f t="array" ref="J29">Comm_TBS(J7, J26, J27, J8, J9, J6/J15)</f>
        <v>13320</v>
      </c>
      <c r="K29" s="6" cm="1">
        <f t="array" ref="K29">Comm_TBS(K7, K26, K27, K8, K9, K6/K15)</f>
        <v>167976</v>
      </c>
      <c r="L29" s="6" cm="1">
        <f t="array" ref="L29">Comm_TBS(L7, L26, L27, L8, L9, L6/L15)</f>
        <v>50184</v>
      </c>
      <c r="M29" s="6" cm="1">
        <f t="array" ref="M29">Comm_TBS(M7, M26, M27, M8, M9, M6/M15)</f>
        <v>17424</v>
      </c>
      <c r="N29" s="6" cm="1">
        <f t="array" ref="N29">Comm_TBS(N7, N26, N27, N8, N9, N6/N15)</f>
        <v>225480</v>
      </c>
      <c r="O29" s="6" cm="1">
        <f t="array" ref="O29">Comm_TBS(O7, O26, O27, O8, O9, O6/O15)</f>
        <v>65576</v>
      </c>
      <c r="P29" s="6" cm="1">
        <f t="array" ref="P29">Comm_TBS(P7, P26, P27, P8, P9, P6/P15)</f>
        <v>24072</v>
      </c>
      <c r="Q29" s="6" cm="1">
        <f t="array" ref="Q29">Comm_TBS(Q7, Q26, Q27, Q8, Q9, Q6/Q15)</f>
        <v>270576</v>
      </c>
      <c r="R29" s="6" cm="1">
        <f t="array" ref="R29">Comm_TBS(R7, R26, R27, R8, R9, R6/R15)</f>
        <v>79896</v>
      </c>
      <c r="S29" s="6" cm="1">
        <f t="array" ref="S29">Comm_TBS(S7, S26, S27, S8, S9, S6/S15)</f>
        <v>28680</v>
      </c>
      <c r="T29" s="6" cm="1">
        <f t="array" ref="T29">Comm_TBS(T7, T26, T27, T8, T9, T6/T15)</f>
        <v>335976</v>
      </c>
      <c r="U29" s="6" cm="1">
        <f t="array" ref="U29">Comm_TBS(U7, U26, U27, U8, U9, U6/U15)</f>
        <v>96264</v>
      </c>
      <c r="V29" s="6" cm="1">
        <f t="array" ref="V29">Comm_TBS(V7, V26, V27, V8, V9, V6/V15)</f>
        <v>34816</v>
      </c>
      <c r="W29" s="6" cm="1">
        <f t="array" ref="W29">Comm_TBS(W7, W26, W27, W8, W9, W6/W15)</f>
        <v>376896</v>
      </c>
      <c r="X29" s="6" cm="1">
        <f t="array" ref="X29">Comm_TBS(X7, X26, X27, X8, X9, X6/X15)</f>
        <v>110632</v>
      </c>
      <c r="Y29" s="6" cm="1">
        <f t="array" ref="Y29">Comm_TBS(Y7, Y26, Y27, Y8, Y9, Y6/Y15)</f>
        <v>39936</v>
      </c>
    </row>
    <row r="30" spans="2:25" x14ac:dyDescent="0.35">
      <c r="B30" s="1" t="s">
        <v>29</v>
      </c>
      <c r="D30" s="6" cm="1">
        <f t="array" ref="D30">Comm_CB(D7, D26, D27, D8, D9, D6/D15)</f>
        <v>69</v>
      </c>
      <c r="E30" s="6" cm="1">
        <f t="array" ref="E30">Comm_CB(E7, E26, E27, E8, E9, E6/E15)</f>
        <v>8</v>
      </c>
      <c r="F30" s="6" cm="1">
        <f t="array" ref="F30">Comm_CB(F7, F26, F27, F8, F9, F6/F15)</f>
        <v>3</v>
      </c>
      <c r="G30" s="6" cm="1">
        <f t="array" ref="G30">Comm_CB(G7, G26, G27, G8, G9, G6/G15)</f>
        <v>1</v>
      </c>
      <c r="H30" s="6" cm="1">
        <f t="array" ref="H30">Comm_CB(H7, H26, H27, H8, H9, H6/H15)</f>
        <v>15</v>
      </c>
      <c r="I30" s="6" cm="1">
        <f t="array" ref="I30">Comm_CB(I7, I26, I27, I8, I9, I6/I15)</f>
        <v>5</v>
      </c>
      <c r="J30" s="6" cm="1">
        <f t="array" ref="J30">Comm_CB(J7, J26, J27, J8, J9, J6/J15)</f>
        <v>2</v>
      </c>
      <c r="K30" s="6" cm="1">
        <f t="array" ref="K30">Comm_CB(K7, K26, K27, K8, K9, K6/K15)</f>
        <v>20</v>
      </c>
      <c r="L30" s="6" cm="1">
        <f t="array" ref="L30">Comm_CB(L7, L26, L27, L8, L9, L6/L15)</f>
        <v>6</v>
      </c>
      <c r="M30" s="6" cm="1">
        <f t="array" ref="M30">Comm_CB(M7, M26, M27, M8, M9, M6/M15)</f>
        <v>3</v>
      </c>
      <c r="N30" s="6" cm="1">
        <f t="array" ref="N30">Comm_CB(N7, N26, N27, N8, N9, N6/N15)</f>
        <v>27</v>
      </c>
      <c r="O30" s="6" cm="1">
        <f t="array" ref="O30">Comm_CB(O7, O26, O27, O8, O9, O6/O15)</f>
        <v>8</v>
      </c>
      <c r="P30" s="6" cm="1">
        <f t="array" ref="P30">Comm_CB(P7, P26, P27, P8, P9, P6/P15)</f>
        <v>3</v>
      </c>
      <c r="Q30" s="6" cm="1">
        <f t="array" ref="Q30">Comm_CB(Q7, Q26, Q27, Q8, Q9, Q6/Q15)</f>
        <v>33</v>
      </c>
      <c r="R30" s="6" cm="1">
        <f t="array" ref="R30">Comm_CB(R7, R26, R27, R8, R9, R6/R15)</f>
        <v>10</v>
      </c>
      <c r="S30" s="6" cm="1">
        <f t="array" ref="S30">Comm_CB(S7, S26, S27, S8, S9, S6/S15)</f>
        <v>4</v>
      </c>
      <c r="T30" s="6" cm="1">
        <f t="array" ref="T30">Comm_CB(T7, T26, T27, T8, T9, T6/T15)</f>
        <v>40</v>
      </c>
      <c r="U30" s="6" cm="1">
        <f t="array" ref="U30">Comm_CB(U7, U26, U27, U8, U9, U6/U15)</f>
        <v>12</v>
      </c>
      <c r="V30" s="6" cm="1">
        <f t="array" ref="V30">Comm_CB(V7, V26, V27, V8, V9, V6/V15)</f>
        <v>5</v>
      </c>
      <c r="W30" s="6" cm="1">
        <f t="array" ref="W30">Comm_CB(W7, W26, W27, W8, W9, W6/W15)</f>
        <v>45</v>
      </c>
      <c r="X30" s="6" cm="1">
        <f t="array" ref="X30">Comm_CB(X7, X26, X27, X8, X9, X6/X15)</f>
        <v>14</v>
      </c>
      <c r="Y30" s="6" cm="1">
        <f t="array" ref="Y30">Comm_CB(Y7, Y26, Y27, Y8, Y9, Y6/Y15)</f>
        <v>5</v>
      </c>
    </row>
    <row r="31" spans="2:25" x14ac:dyDescent="0.35">
      <c r="B31" s="1" t="s">
        <v>30</v>
      </c>
      <c r="D31" s="6" cm="1">
        <f t="array" ref="D31">Comm_Parity_Nodes(D7, D26, D27, D8, D9, D6/D15)</f>
        <v>4</v>
      </c>
      <c r="E31" s="6" cm="1">
        <f t="array" ref="E31">Comm_Parity_Nodes(E7, E26, E27, E8, E9, E6/E15)</f>
        <v>7</v>
      </c>
      <c r="F31" s="6" cm="1">
        <f t="array" ref="F31">Comm_Parity_Nodes(F7, F26, F27, F8, F9, F6/F15)</f>
        <v>19</v>
      </c>
      <c r="G31" s="6" cm="1">
        <f t="array" ref="G31">Comm_Parity_Nodes(G7, G26, G27, G8, G9, G6/G15)</f>
        <v>25</v>
      </c>
      <c r="H31" s="6" cm="1">
        <f t="array" ref="H31">Comm_Parity_Nodes(H7, H26, H27, H8, H9, H6/H15)</f>
        <v>7</v>
      </c>
      <c r="I31" s="6" cm="1">
        <f t="array" ref="I31">Comm_Parity_Nodes(I7, I26, I27, I8, I9, I6/I15)</f>
        <v>20</v>
      </c>
      <c r="J31" s="6" cm="1">
        <f t="array" ref="J31">Comm_Parity_Nodes(J7, J26, J27, J8, J9, J6/J15)</f>
        <v>25</v>
      </c>
      <c r="K31" s="6" cm="1">
        <f t="array" ref="K31">Comm_Parity_Nodes(K7, K26, K27, K8, K9, K6/K15)</f>
        <v>7</v>
      </c>
      <c r="L31" s="6" cm="1">
        <f t="array" ref="L31">Comm_Parity_Nodes(L7, L26, L27, L8, L9, L6/L15)</f>
        <v>20</v>
      </c>
      <c r="M31" s="6" cm="1">
        <f t="array" ref="M31">Comm_Parity_Nodes(M7, M26, M27, M8, M9, M6/M15)</f>
        <v>25</v>
      </c>
      <c r="N31" s="6" cm="1">
        <f t="array" ref="N31">Comm_Parity_Nodes(N7, N26, N27, N8, N9, N6/N15)</f>
        <v>7</v>
      </c>
      <c r="O31" s="6" cm="1">
        <f t="array" ref="O31">Comm_Parity_Nodes(O7, O26, O27, O8, O9, O6/O15)</f>
        <v>19</v>
      </c>
      <c r="P31" s="6" cm="1">
        <f t="array" ref="P31">Comm_Parity_Nodes(P7, P26, P27, P8, P9, P6/P15)</f>
        <v>26</v>
      </c>
      <c r="Q31" s="6" cm="1">
        <f t="array" ref="Q31">Comm_Parity_Nodes(Q7, Q26, Q27, Q8, Q9, Q6/Q15)</f>
        <v>7</v>
      </c>
      <c r="R31" s="6" cm="1">
        <f t="array" ref="R31">Comm_Parity_Nodes(R7, R26, R27, R8, R9, R6/R15)</f>
        <v>19</v>
      </c>
      <c r="S31" s="6" cm="1">
        <f t="array" ref="S31">Comm_Parity_Nodes(S7, S26, S27, S8, S9, S6/S15)</f>
        <v>25</v>
      </c>
      <c r="T31" s="6" cm="1">
        <f t="array" ref="T31">Comm_Parity_Nodes(T7, T26, T27, T8, T9, T6/T15)</f>
        <v>7</v>
      </c>
      <c r="U31" s="6" cm="1">
        <f t="array" ref="U31">Comm_Parity_Nodes(U7, U26, U27, U8, U9, U6/U15)</f>
        <v>19</v>
      </c>
      <c r="V31" s="6" cm="1">
        <f t="array" ref="V31">Comm_Parity_Nodes(V7, V26, V27, V8, V9, V6/V15)</f>
        <v>27</v>
      </c>
      <c r="W31" s="6" cm="1">
        <f t="array" ref="W31">Comm_Parity_Nodes(W7, W26, W27, W8, W9, W6/W15)</f>
        <v>7</v>
      </c>
      <c r="X31" s="6" cm="1">
        <f t="array" ref="X31">Comm_Parity_Nodes(X7, X26, X27, X8, X9, X6/X15)</f>
        <v>19</v>
      </c>
      <c r="Y31" s="6" cm="1">
        <f t="array" ref="Y31">Comm_Parity_Nodes(Y7, Y26, Y27, Y8, Y9, Y6/Y15)</f>
        <v>25</v>
      </c>
    </row>
    <row r="33" spans="2:25" x14ac:dyDescent="0.35">
      <c r="B33" s="1" t="s">
        <v>102</v>
      </c>
      <c r="E33" s="6">
        <v>1</v>
      </c>
      <c r="F33" s="6">
        <v>1</v>
      </c>
      <c r="G33" s="6">
        <v>1</v>
      </c>
      <c r="H33" s="6">
        <v>2</v>
      </c>
      <c r="I33" s="6">
        <v>2</v>
      </c>
      <c r="J33" s="6">
        <v>2</v>
      </c>
      <c r="K33" s="6">
        <v>3</v>
      </c>
      <c r="L33" s="6">
        <v>3</v>
      </c>
      <c r="M33" s="6">
        <v>3</v>
      </c>
      <c r="N33" s="6">
        <v>4</v>
      </c>
      <c r="O33" s="6">
        <v>4</v>
      </c>
      <c r="P33" s="6">
        <v>4</v>
      </c>
      <c r="Q33" s="6">
        <v>5</v>
      </c>
      <c r="R33" s="6">
        <v>5</v>
      </c>
      <c r="S33" s="6">
        <v>5</v>
      </c>
      <c r="T33" s="6">
        <v>6</v>
      </c>
      <c r="U33" s="6">
        <v>6</v>
      </c>
      <c r="V33" s="6">
        <v>6</v>
      </c>
      <c r="W33" s="6">
        <v>7</v>
      </c>
      <c r="X33" s="6">
        <v>7</v>
      </c>
      <c r="Y33" s="6">
        <v>7</v>
      </c>
    </row>
    <row r="34" spans="2:25" x14ac:dyDescent="0.35">
      <c r="B34" s="1" t="s">
        <v>103</v>
      </c>
      <c r="E34" s="6">
        <v>0.3</v>
      </c>
      <c r="F34" s="6">
        <v>0.3</v>
      </c>
      <c r="G34" s="6">
        <v>0.3</v>
      </c>
      <c r="H34" s="6">
        <v>0.3</v>
      </c>
      <c r="I34" s="6">
        <v>0.3</v>
      </c>
      <c r="J34" s="6">
        <v>0.3</v>
      </c>
      <c r="K34" s="6">
        <v>0.3</v>
      </c>
      <c r="L34" s="6">
        <v>0.3</v>
      </c>
      <c r="M34" s="6">
        <v>0.3</v>
      </c>
      <c r="N34" s="6">
        <v>0.3</v>
      </c>
      <c r="O34" s="6">
        <v>0.3</v>
      </c>
      <c r="P34" s="6">
        <v>0.3</v>
      </c>
      <c r="Q34" s="6">
        <v>0.3</v>
      </c>
      <c r="R34" s="6">
        <v>0.3</v>
      </c>
      <c r="S34" s="6">
        <v>0.3</v>
      </c>
      <c r="T34" s="6">
        <v>0.3</v>
      </c>
      <c r="U34" s="6">
        <v>0.3</v>
      </c>
      <c r="V34" s="6">
        <v>0.3</v>
      </c>
      <c r="W34" s="6">
        <v>0.3</v>
      </c>
      <c r="X34" s="6">
        <v>0.3</v>
      </c>
      <c r="Y34" s="6">
        <v>0.3</v>
      </c>
    </row>
    <row r="35" spans="2:25" x14ac:dyDescent="0.35">
      <c r="B35" s="1" t="s">
        <v>104</v>
      </c>
      <c r="E35" s="6">
        <v>0.35</v>
      </c>
      <c r="F35" s="6">
        <v>0.4</v>
      </c>
      <c r="G35">
        <v>0.25</v>
      </c>
      <c r="H35" s="6">
        <v>0.35</v>
      </c>
      <c r="I35" s="6">
        <v>0.4</v>
      </c>
      <c r="J35">
        <v>0.25</v>
      </c>
      <c r="K35" s="6">
        <v>0.35</v>
      </c>
      <c r="L35" s="6">
        <v>0.4</v>
      </c>
      <c r="M35">
        <v>0.25</v>
      </c>
      <c r="N35" s="6">
        <v>0.35</v>
      </c>
      <c r="O35" s="6">
        <v>0.4</v>
      </c>
      <c r="P35">
        <v>0.25</v>
      </c>
      <c r="Q35" s="6">
        <v>0.35</v>
      </c>
      <c r="R35" s="6">
        <v>0.4</v>
      </c>
      <c r="S35">
        <v>0.25</v>
      </c>
      <c r="T35" s="6">
        <v>0.35</v>
      </c>
      <c r="U35" s="6">
        <v>0.4</v>
      </c>
      <c r="V35">
        <v>0.25</v>
      </c>
      <c r="W35" s="6">
        <v>0.35</v>
      </c>
      <c r="X35" s="6">
        <v>0.4</v>
      </c>
      <c r="Y35">
        <v>0.25</v>
      </c>
    </row>
    <row r="36" spans="2:25" x14ac:dyDescent="0.35">
      <c r="B36" s="12" t="s">
        <v>145</v>
      </c>
      <c r="D36" s="13" t="s">
        <v>189</v>
      </c>
      <c r="E36" s="13" t="s">
        <v>190</v>
      </c>
      <c r="F36" s="13" t="s">
        <v>191</v>
      </c>
      <c r="G36" s="13" t="s">
        <v>192</v>
      </c>
      <c r="H36" s="13" t="s">
        <v>193</v>
      </c>
      <c r="I36" s="13" t="s">
        <v>194</v>
      </c>
      <c r="J36" s="13" t="s">
        <v>195</v>
      </c>
      <c r="K36" s="13" t="s">
        <v>196</v>
      </c>
      <c r="L36" s="13" t="s">
        <v>197</v>
      </c>
      <c r="M36" s="13" t="s">
        <v>198</v>
      </c>
      <c r="N36" s="13" t="s">
        <v>199</v>
      </c>
      <c r="O36" s="13" t="s">
        <v>200</v>
      </c>
      <c r="P36" s="13" t="s">
        <v>201</v>
      </c>
      <c r="Q36" s="13" t="s">
        <v>202</v>
      </c>
      <c r="R36" s="13" t="s">
        <v>203</v>
      </c>
      <c r="S36" s="13" t="s">
        <v>204</v>
      </c>
      <c r="T36" s="13" t="s">
        <v>205</v>
      </c>
      <c r="U36" s="13" t="s">
        <v>206</v>
      </c>
      <c r="V36" s="13" t="s">
        <v>207</v>
      </c>
      <c r="W36" s="13" t="s">
        <v>208</v>
      </c>
      <c r="X36" s="13" t="s">
        <v>209</v>
      </c>
      <c r="Y36" s="13" t="s">
        <v>210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06DFA-C36A-4370-9453-C0B3CFADEB78}">
  <dimension ref="B1:G36"/>
  <sheetViews>
    <sheetView tabSelected="1" zoomScale="85" zoomScaleNormal="85" workbookViewId="0">
      <selection activeCell="I10" sqref="I10"/>
    </sheetView>
  </sheetViews>
  <sheetFormatPr defaultColWidth="10.90625" defaultRowHeight="14.5" x14ac:dyDescent="0.35"/>
  <cols>
    <col min="1" max="1" width="2.6328125" customWidth="1"/>
    <col min="2" max="2" width="28.81640625" customWidth="1"/>
    <col min="3" max="3" width="1.6328125" customWidth="1"/>
    <col min="4" max="7" width="12.6328125" style="6" customWidth="1"/>
  </cols>
  <sheetData>
    <row r="1" spans="2:7" x14ac:dyDescent="0.35">
      <c r="D1"/>
      <c r="E1"/>
      <c r="F1"/>
      <c r="G1"/>
    </row>
    <row r="2" spans="2:7" x14ac:dyDescent="0.35">
      <c r="B2" s="3" t="s">
        <v>0</v>
      </c>
      <c r="D2" s="10" t="s">
        <v>233</v>
      </c>
      <c r="E2" s="10" t="s">
        <v>234</v>
      </c>
      <c r="F2" s="10" t="s">
        <v>238</v>
      </c>
      <c r="G2" s="10" t="s">
        <v>239</v>
      </c>
    </row>
    <row r="3" spans="2:7" x14ac:dyDescent="0.35">
      <c r="B3" s="4" t="s">
        <v>1</v>
      </c>
      <c r="D3" s="6">
        <v>100</v>
      </c>
      <c r="E3">
        <v>100</v>
      </c>
      <c r="F3">
        <v>20</v>
      </c>
      <c r="G3">
        <v>20</v>
      </c>
    </row>
    <row r="4" spans="2:7" x14ac:dyDescent="0.35">
      <c r="B4" s="5" t="s">
        <v>2</v>
      </c>
      <c r="D4" s="6">
        <v>1</v>
      </c>
      <c r="E4">
        <v>1</v>
      </c>
      <c r="F4">
        <v>1</v>
      </c>
      <c r="G4">
        <v>1</v>
      </c>
    </row>
    <row r="5" spans="2:7" x14ac:dyDescent="0.35">
      <c r="B5" s="5" t="s">
        <v>3</v>
      </c>
      <c r="D5" s="6">
        <v>8</v>
      </c>
      <c r="E5">
        <v>8</v>
      </c>
      <c r="F5">
        <v>8</v>
      </c>
      <c r="G5">
        <v>8</v>
      </c>
    </row>
    <row r="6" spans="2:7" x14ac:dyDescent="0.35">
      <c r="B6" s="5" t="s">
        <v>4</v>
      </c>
      <c r="D6" s="6">
        <v>8</v>
      </c>
      <c r="E6">
        <v>8</v>
      </c>
      <c r="F6">
        <v>8</v>
      </c>
      <c r="G6">
        <v>8</v>
      </c>
    </row>
    <row r="7" spans="2:7" x14ac:dyDescent="0.35">
      <c r="B7" s="4" t="s">
        <v>5</v>
      </c>
      <c r="D7" s="6">
        <v>273</v>
      </c>
      <c r="E7">
        <v>136</v>
      </c>
      <c r="F7">
        <v>48</v>
      </c>
      <c r="G7">
        <v>24</v>
      </c>
    </row>
    <row r="8" spans="2:7" x14ac:dyDescent="0.35">
      <c r="B8" s="4" t="s">
        <v>6</v>
      </c>
      <c r="D8" s="6">
        <v>12</v>
      </c>
      <c r="E8">
        <v>12</v>
      </c>
      <c r="F8">
        <v>12</v>
      </c>
      <c r="G8">
        <v>12</v>
      </c>
    </row>
    <row r="9" spans="2:7" x14ac:dyDescent="0.35">
      <c r="B9" s="4" t="s">
        <v>7</v>
      </c>
      <c r="D9" s="6">
        <v>2</v>
      </c>
      <c r="E9">
        <v>2</v>
      </c>
      <c r="F9">
        <v>2</v>
      </c>
      <c r="G9">
        <v>2</v>
      </c>
    </row>
    <row r="10" spans="2:7" x14ac:dyDescent="0.35">
      <c r="B10" s="9" t="s">
        <v>8</v>
      </c>
      <c r="D10" s="6">
        <v>2</v>
      </c>
      <c r="E10">
        <v>2</v>
      </c>
      <c r="F10">
        <v>2</v>
      </c>
      <c r="G10">
        <v>2</v>
      </c>
    </row>
    <row r="11" spans="2:7" x14ac:dyDescent="0.35">
      <c r="B11" s="9" t="s">
        <v>9</v>
      </c>
      <c r="D11" s="6">
        <v>0</v>
      </c>
      <c r="E11">
        <v>0</v>
      </c>
      <c r="F11">
        <v>0</v>
      </c>
      <c r="G11">
        <v>0</v>
      </c>
    </row>
    <row r="12" spans="2:7" x14ac:dyDescent="0.35">
      <c r="B12" s="4" t="s">
        <v>165</v>
      </c>
      <c r="D12" s="6">
        <v>2</v>
      </c>
      <c r="E12">
        <v>2</v>
      </c>
      <c r="F12">
        <v>2</v>
      </c>
      <c r="G12">
        <v>2</v>
      </c>
    </row>
    <row r="13" spans="2:7" x14ac:dyDescent="0.35">
      <c r="B13" s="4" t="s">
        <v>166</v>
      </c>
      <c r="D13" s="6">
        <v>27</v>
      </c>
      <c r="E13">
        <v>27</v>
      </c>
      <c r="F13">
        <v>27</v>
      </c>
      <c r="G13">
        <v>27</v>
      </c>
    </row>
    <row r="14" spans="2:7" x14ac:dyDescent="0.35">
      <c r="B14" s="4" t="s">
        <v>12</v>
      </c>
      <c r="D14" s="6">
        <v>1</v>
      </c>
      <c r="E14">
        <v>1</v>
      </c>
      <c r="F14">
        <v>1</v>
      </c>
      <c r="G14">
        <v>1</v>
      </c>
    </row>
    <row r="15" spans="2:7" x14ac:dyDescent="0.35">
      <c r="B15" s="4" t="s">
        <v>13</v>
      </c>
      <c r="D15" s="6">
        <v>4</v>
      </c>
      <c r="E15">
        <v>4</v>
      </c>
      <c r="F15">
        <v>4</v>
      </c>
      <c r="G15">
        <v>4</v>
      </c>
    </row>
    <row r="16" spans="2:7" x14ac:dyDescent="0.35">
      <c r="B16" s="4" t="s">
        <v>14</v>
      </c>
      <c r="D16" s="6">
        <v>2</v>
      </c>
      <c r="E16">
        <v>2</v>
      </c>
      <c r="F16">
        <v>2</v>
      </c>
      <c r="G16">
        <v>2</v>
      </c>
    </row>
    <row r="17" spans="2:7" x14ac:dyDescent="0.35">
      <c r="B17" s="4" t="s">
        <v>15</v>
      </c>
      <c r="D17" s="6" t="s">
        <v>34</v>
      </c>
      <c r="E17" s="6" t="s">
        <v>34</v>
      </c>
      <c r="F17" s="6" t="s">
        <v>34</v>
      </c>
      <c r="G17" s="6" t="s">
        <v>34</v>
      </c>
    </row>
    <row r="18" spans="2:7" x14ac:dyDescent="0.35">
      <c r="B18" s="9" t="s">
        <v>16</v>
      </c>
      <c r="D18" s="6" t="s">
        <v>17</v>
      </c>
      <c r="E18" s="6" t="s">
        <v>17</v>
      </c>
      <c r="F18" s="6" t="s">
        <v>17</v>
      </c>
      <c r="G18" s="6" t="s">
        <v>17</v>
      </c>
    </row>
    <row r="19" spans="2:7" x14ac:dyDescent="0.35">
      <c r="B19" s="4" t="s">
        <v>18</v>
      </c>
      <c r="D19" s="6" t="s">
        <v>17</v>
      </c>
      <c r="E19" s="6" t="s">
        <v>17</v>
      </c>
      <c r="F19" s="6" t="s">
        <v>17</v>
      </c>
      <c r="G19" s="6" t="s">
        <v>17</v>
      </c>
    </row>
    <row r="20" spans="2:7" x14ac:dyDescent="0.35">
      <c r="B20" s="4" t="s">
        <v>19</v>
      </c>
      <c r="D20" s="6">
        <v>1</v>
      </c>
      <c r="E20">
        <v>1</v>
      </c>
      <c r="F20">
        <v>1</v>
      </c>
      <c r="G20">
        <v>1</v>
      </c>
    </row>
    <row r="21" spans="2:7" x14ac:dyDescent="0.35">
      <c r="B21" s="2" t="s">
        <v>20</v>
      </c>
      <c r="D21" s="8"/>
      <c r="E21" s="8"/>
      <c r="F21" s="8"/>
      <c r="G21" s="8"/>
    </row>
    <row r="22" spans="2:7" x14ac:dyDescent="0.35">
      <c r="B22" s="7" t="s">
        <v>21</v>
      </c>
      <c r="D22" s="6" t="s">
        <v>22</v>
      </c>
      <c r="E22" s="6" t="s">
        <v>22</v>
      </c>
      <c r="F22" s="6" t="s">
        <v>22</v>
      </c>
      <c r="G22" s="6" t="s">
        <v>22</v>
      </c>
    </row>
    <row r="23" spans="2:7" x14ac:dyDescent="0.35">
      <c r="B23" s="7" t="s">
        <v>23</v>
      </c>
      <c r="D23" s="6">
        <v>0</v>
      </c>
      <c r="E23" s="6">
        <v>0</v>
      </c>
      <c r="F23" s="6">
        <v>0</v>
      </c>
      <c r="G23" s="6">
        <v>0</v>
      </c>
    </row>
    <row r="24" spans="2:7" x14ac:dyDescent="0.35">
      <c r="B24" s="7" t="s">
        <v>24</v>
      </c>
      <c r="D24" s="6" t="s">
        <v>25</v>
      </c>
      <c r="E24" s="6" t="s">
        <v>25</v>
      </c>
      <c r="F24" s="6" t="s">
        <v>25</v>
      </c>
      <c r="G24" s="6" t="s">
        <v>25</v>
      </c>
    </row>
    <row r="25" spans="2:7" x14ac:dyDescent="0.35">
      <c r="B25" s="2" t="s">
        <v>26</v>
      </c>
      <c r="D25" s="8"/>
      <c r="E25" s="8"/>
      <c r="F25" s="8"/>
      <c r="G25" s="8"/>
    </row>
    <row r="26" spans="2:7" x14ac:dyDescent="0.35">
      <c r="B26" s="14" t="s">
        <v>10</v>
      </c>
      <c r="D26" s="6" cm="1">
        <f t="array" ref="D26">Comm_MCS_ModOrd(D12,D13)</f>
        <v>8</v>
      </c>
      <c r="E26" s="6" cm="1">
        <f t="array" ref="E26">Comm_MCS_ModOrd(E12,E13)</f>
        <v>8</v>
      </c>
      <c r="F26" s="6" cm="1">
        <f t="array" ref="F26">Comm_MCS_ModOrd(F12,F13)</f>
        <v>8</v>
      </c>
      <c r="G26" s="6" cm="1">
        <f t="array" ref="G26">Comm_MCS_ModOrd(G12,G13)</f>
        <v>8</v>
      </c>
    </row>
    <row r="27" spans="2:7" x14ac:dyDescent="0.35">
      <c r="B27" s="14" t="s">
        <v>11</v>
      </c>
      <c r="D27" s="6" cm="1">
        <f t="array" ref="D27">Comm_MCS_CodeRate(D12,D13)</f>
        <v>948</v>
      </c>
      <c r="E27" s="6" cm="1">
        <f t="array" ref="E27">Comm_MCS_CodeRate(E12,E13)</f>
        <v>948</v>
      </c>
      <c r="F27" s="6" cm="1">
        <f t="array" ref="F27">Comm_MCS_CodeRate(F12,F13)</f>
        <v>948</v>
      </c>
      <c r="G27" s="6" cm="1">
        <f t="array" ref="G27">Comm_MCS_CodeRate(G12,G13)</f>
        <v>948</v>
      </c>
    </row>
    <row r="28" spans="2:7" x14ac:dyDescent="0.35">
      <c r="B28" s="1" t="s">
        <v>27</v>
      </c>
      <c r="D28" s="6" cm="1">
        <f t="array" ref="D28">Comm_Z(D7, D26, D27, D8, D9, D6/D15)</f>
        <v>384</v>
      </c>
      <c r="E28" s="6" cm="1">
        <f t="array" ref="E28">Comm_Z(E7, E26, E27, E8, E9, E6/E15)</f>
        <v>384</v>
      </c>
      <c r="F28" s="6" cm="1">
        <f t="array" ref="F28">Comm_Z(F7, F26, F27, F8, F9, F6/F15)</f>
        <v>384</v>
      </c>
      <c r="G28" s="6" cm="1">
        <f t="array" ref="G28">Comm_Z(G7, G26, G27, G8, G9, G6/G15)</f>
        <v>352</v>
      </c>
    </row>
    <row r="29" spans="2:7" x14ac:dyDescent="0.35">
      <c r="B29" s="1" t="s">
        <v>28</v>
      </c>
      <c r="D29" s="6" cm="1">
        <f t="array" ref="D29">Comm_TBS(D7, D26, D27, D8, D9, D6/D15)</f>
        <v>483464</v>
      </c>
      <c r="E29" s="6" cm="1">
        <f t="array" ref="E29">Comm_TBS(E7, E26, E27, E8, E9, E6/E15)</f>
        <v>241720</v>
      </c>
      <c r="F29" s="6" cm="1">
        <f t="array" ref="F29">Comm_TBS(F7, F26, F27, F8, F9, F6/F15)</f>
        <v>86040</v>
      </c>
      <c r="G29" s="6" cm="1">
        <f t="array" ref="G29">Comm_TBS(G7, G26, G27, G8, G9, G6/G15)</f>
        <v>43032</v>
      </c>
    </row>
    <row r="30" spans="2:7" x14ac:dyDescent="0.35">
      <c r="B30" s="1" t="s">
        <v>29</v>
      </c>
      <c r="D30" s="6" cm="1">
        <f t="array" ref="D30">Comm_CB(D7, D26, D27, D8, D9, D6/D15)</f>
        <v>58</v>
      </c>
      <c r="E30" s="6" cm="1">
        <f t="array" ref="E30">Comm_CB(E7, E26, E27, E8, E9, E6/E15)</f>
        <v>29</v>
      </c>
      <c r="F30" s="6" cm="1">
        <f t="array" ref="F30">Comm_CB(F7, F26, F27, F8, F9, F6/F15)</f>
        <v>11</v>
      </c>
      <c r="G30" s="6" cm="1">
        <f t="array" ref="G30">Comm_CB(G7, G26, G27, G8, G9, G6/G15)</f>
        <v>6</v>
      </c>
    </row>
    <row r="31" spans="2:7" x14ac:dyDescent="0.35">
      <c r="B31" s="1" t="s">
        <v>30</v>
      </c>
      <c r="D31" s="6" cm="1">
        <f t="array" ref="D31">Comm_Parity_Nodes(D7, D26, D27, D8, D9, D6/D15)</f>
        <v>4</v>
      </c>
      <c r="E31" s="6" cm="1">
        <f t="array" ref="E31">Comm_Parity_Nodes(E7, E26, E27, E8, E9, E6/E15)</f>
        <v>4</v>
      </c>
      <c r="F31" s="6" cm="1">
        <f t="array" ref="F31">Comm_Parity_Nodes(F7, F26, F27, F8, F9, F6/F15)</f>
        <v>4</v>
      </c>
      <c r="G31" s="6" cm="1">
        <f t="array" ref="G31">Comm_Parity_Nodes(G7, G26, G27, G8, G9, G6/G15)</f>
        <v>4</v>
      </c>
    </row>
    <row r="33" spans="2:7" x14ac:dyDescent="0.35">
      <c r="B33" s="1" t="s">
        <v>102</v>
      </c>
    </row>
    <row r="34" spans="2:7" x14ac:dyDescent="0.35">
      <c r="B34" s="1" t="s">
        <v>103</v>
      </c>
    </row>
    <row r="35" spans="2:7" x14ac:dyDescent="0.35">
      <c r="B35" s="1" t="s">
        <v>104</v>
      </c>
    </row>
    <row r="36" spans="2:7" x14ac:dyDescent="0.35">
      <c r="B36" s="12" t="s">
        <v>145</v>
      </c>
      <c r="D36" s="13" t="s">
        <v>123</v>
      </c>
      <c r="E36" s="13"/>
      <c r="F36" s="13"/>
      <c r="G36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A3A-6E3C-7A47-98A8-0036E47F050A}">
  <sheetPr codeName="Sheet1"/>
  <dimension ref="B1:AB38"/>
  <sheetViews>
    <sheetView zoomScale="85" zoomScaleNormal="85" workbookViewId="0">
      <selection activeCell="G8" sqref="G8"/>
    </sheetView>
  </sheetViews>
  <sheetFormatPr defaultColWidth="10.90625" defaultRowHeight="14.5" x14ac:dyDescent="0.35"/>
  <cols>
    <col min="1" max="1" width="2.6328125" customWidth="1"/>
    <col min="2" max="2" width="28.81640625" customWidth="1"/>
    <col min="3" max="3" width="1.6328125" customWidth="1"/>
    <col min="4" max="9" width="12.6328125" style="6" customWidth="1"/>
    <col min="10" max="10" width="12.6328125" customWidth="1"/>
    <col min="11" max="12" width="12.6328125" style="6" customWidth="1"/>
    <col min="13" max="13" width="12.6328125" customWidth="1"/>
    <col min="14" max="15" width="12.6328125" style="6" customWidth="1"/>
    <col min="16" max="16" width="12.6328125" customWidth="1"/>
    <col min="17" max="18" width="12.6328125" style="6" customWidth="1"/>
    <col min="19" max="19" width="12.6328125" customWidth="1"/>
    <col min="20" max="21" width="12.6328125" style="6" customWidth="1"/>
    <col min="22" max="22" width="12.6328125" customWidth="1"/>
    <col min="23" max="24" width="12.6328125" style="6" customWidth="1"/>
    <col min="25" max="25" width="12.6328125" customWidth="1"/>
    <col min="26" max="27" width="12.6328125" style="6" customWidth="1"/>
    <col min="28" max="28" width="12.6328125" customWidth="1"/>
  </cols>
  <sheetData>
    <row r="1" spans="2:28" x14ac:dyDescent="0.35">
      <c r="D1"/>
      <c r="E1"/>
      <c r="F1"/>
      <c r="G1"/>
      <c r="H1"/>
      <c r="I1"/>
      <c r="K1"/>
      <c r="L1"/>
      <c r="N1"/>
      <c r="O1"/>
      <c r="Q1"/>
      <c r="R1"/>
      <c r="T1"/>
      <c r="U1"/>
      <c r="W1"/>
      <c r="X1"/>
      <c r="Z1"/>
      <c r="AA1"/>
    </row>
    <row r="2" spans="2:28" x14ac:dyDescent="0.35">
      <c r="B2" s="3" t="s">
        <v>0</v>
      </c>
      <c r="D2" s="10" t="s">
        <v>55</v>
      </c>
      <c r="E2" s="10" t="s">
        <v>235</v>
      </c>
      <c r="F2" s="10" t="s">
        <v>236</v>
      </c>
      <c r="G2" s="10" t="s">
        <v>237</v>
      </c>
      <c r="H2" s="10" t="s">
        <v>56</v>
      </c>
      <c r="I2" s="10" t="s">
        <v>57</v>
      </c>
      <c r="J2" s="10" t="s">
        <v>58</v>
      </c>
      <c r="K2" s="10" t="s">
        <v>59</v>
      </c>
      <c r="L2" s="10" t="s">
        <v>60</v>
      </c>
      <c r="M2" s="10" t="s">
        <v>61</v>
      </c>
      <c r="N2" s="10" t="s">
        <v>62</v>
      </c>
      <c r="O2" s="10" t="s">
        <v>63</v>
      </c>
      <c r="P2" s="10" t="s">
        <v>64</v>
      </c>
      <c r="Q2" s="10" t="s">
        <v>65</v>
      </c>
      <c r="R2" s="10" t="s">
        <v>66</v>
      </c>
      <c r="S2" s="10" t="s">
        <v>67</v>
      </c>
      <c r="T2" s="10" t="s">
        <v>68</v>
      </c>
      <c r="U2" s="10" t="s">
        <v>69</v>
      </c>
      <c r="V2" s="10" t="s">
        <v>70</v>
      </c>
      <c r="W2" s="10" t="s">
        <v>71</v>
      </c>
      <c r="X2" s="10" t="s">
        <v>72</v>
      </c>
      <c r="Y2" s="10" t="s">
        <v>73</v>
      </c>
      <c r="Z2" s="10" t="s">
        <v>105</v>
      </c>
      <c r="AA2" s="10" t="s">
        <v>106</v>
      </c>
      <c r="AB2" s="10" t="s">
        <v>107</v>
      </c>
    </row>
    <row r="3" spans="2:28" x14ac:dyDescent="0.35">
      <c r="B3" s="4" t="s">
        <v>1</v>
      </c>
      <c r="D3" s="6">
        <v>100</v>
      </c>
      <c r="E3" s="6">
        <v>100</v>
      </c>
      <c r="F3" s="6">
        <v>20</v>
      </c>
      <c r="G3" s="6">
        <v>20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</row>
    <row r="4" spans="2:28" x14ac:dyDescent="0.35">
      <c r="B4" s="5" t="s">
        <v>2</v>
      </c>
      <c r="D4" s="6">
        <v>1</v>
      </c>
      <c r="E4" s="6">
        <v>1</v>
      </c>
      <c r="F4" s="6">
        <v>1</v>
      </c>
      <c r="G4" s="6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</row>
    <row r="5" spans="2:28" x14ac:dyDescent="0.35">
      <c r="B5" s="5" t="s">
        <v>3</v>
      </c>
      <c r="D5" s="6">
        <v>16</v>
      </c>
      <c r="E5" s="6">
        <v>16</v>
      </c>
      <c r="F5" s="6">
        <v>16</v>
      </c>
      <c r="G5" s="6">
        <v>16</v>
      </c>
      <c r="H5">
        <v>16</v>
      </c>
      <c r="I5">
        <v>16</v>
      </c>
      <c r="J5">
        <v>16</v>
      </c>
      <c r="K5">
        <v>16</v>
      </c>
      <c r="L5">
        <v>16</v>
      </c>
      <c r="M5">
        <v>16</v>
      </c>
      <c r="N5">
        <v>16</v>
      </c>
      <c r="O5">
        <v>16</v>
      </c>
      <c r="P5">
        <v>16</v>
      </c>
      <c r="Q5">
        <v>16</v>
      </c>
      <c r="R5">
        <v>16</v>
      </c>
      <c r="S5">
        <v>16</v>
      </c>
      <c r="T5">
        <v>16</v>
      </c>
      <c r="U5">
        <v>16</v>
      </c>
      <c r="V5">
        <v>16</v>
      </c>
      <c r="W5">
        <v>16</v>
      </c>
      <c r="X5">
        <v>16</v>
      </c>
      <c r="Y5">
        <v>16</v>
      </c>
      <c r="Z5">
        <v>16</v>
      </c>
      <c r="AA5">
        <v>16</v>
      </c>
      <c r="AB5">
        <v>16</v>
      </c>
    </row>
    <row r="6" spans="2:28" x14ac:dyDescent="0.35">
      <c r="B6" s="5" t="s">
        <v>4</v>
      </c>
      <c r="D6" s="6">
        <v>16</v>
      </c>
      <c r="E6" s="6">
        <v>16</v>
      </c>
      <c r="F6" s="6">
        <v>16</v>
      </c>
      <c r="G6" s="6">
        <v>16</v>
      </c>
      <c r="H6">
        <v>16</v>
      </c>
      <c r="I6">
        <v>4</v>
      </c>
      <c r="J6">
        <v>2</v>
      </c>
      <c r="K6">
        <v>16</v>
      </c>
      <c r="L6">
        <v>4</v>
      </c>
      <c r="M6">
        <v>2</v>
      </c>
      <c r="N6">
        <v>16</v>
      </c>
      <c r="O6">
        <v>4</v>
      </c>
      <c r="P6">
        <v>2</v>
      </c>
      <c r="Q6">
        <v>16</v>
      </c>
      <c r="R6">
        <v>4</v>
      </c>
      <c r="S6">
        <v>2</v>
      </c>
      <c r="T6">
        <v>16</v>
      </c>
      <c r="U6">
        <v>4</v>
      </c>
      <c r="V6">
        <v>2</v>
      </c>
      <c r="W6">
        <v>16</v>
      </c>
      <c r="X6">
        <v>4</v>
      </c>
      <c r="Y6">
        <v>2</v>
      </c>
      <c r="Z6">
        <v>16</v>
      </c>
      <c r="AA6">
        <v>4</v>
      </c>
      <c r="AB6">
        <v>2</v>
      </c>
    </row>
    <row r="7" spans="2:28" x14ac:dyDescent="0.35">
      <c r="B7" s="4" t="s">
        <v>5</v>
      </c>
      <c r="D7" s="6">
        <v>273</v>
      </c>
      <c r="E7" s="6">
        <v>136</v>
      </c>
      <c r="F7" s="6">
        <v>51</v>
      </c>
      <c r="G7" s="6">
        <v>25</v>
      </c>
      <c r="H7">
        <f xml:space="preserve"> 8 * CEILING(H33 * $D$7 * H34 * H35 / 8, 1)</f>
        <v>32</v>
      </c>
      <c r="I7">
        <f xml:space="preserve"> 8 * CEILING(I33 * $D$7 * I34 * I35 / 8, 1)</f>
        <v>40</v>
      </c>
      <c r="J7">
        <f t="shared" ref="J7:Y7" si="0" xml:space="preserve"> 8 * CEILING(J33 * $D$7 * J34 * J35 / 8, 1)</f>
        <v>24</v>
      </c>
      <c r="K7">
        <f t="shared" si="0"/>
        <v>64</v>
      </c>
      <c r="L7">
        <f t="shared" si="0"/>
        <v>72</v>
      </c>
      <c r="M7">
        <f xml:space="preserve"> 8 * CEILING(M33 * $D$7 * M34 * M35 / 8, 1)</f>
        <v>48</v>
      </c>
      <c r="N7">
        <f t="shared" si="0"/>
        <v>88</v>
      </c>
      <c r="O7">
        <f t="shared" si="0"/>
        <v>104</v>
      </c>
      <c r="P7">
        <f t="shared" si="0"/>
        <v>64</v>
      </c>
      <c r="Q7">
        <f t="shared" si="0"/>
        <v>120</v>
      </c>
      <c r="R7">
        <f t="shared" si="0"/>
        <v>136</v>
      </c>
      <c r="S7">
        <f t="shared" si="0"/>
        <v>88</v>
      </c>
      <c r="T7">
        <f t="shared" si="0"/>
        <v>144</v>
      </c>
      <c r="U7">
        <f t="shared" si="0"/>
        <v>168</v>
      </c>
      <c r="V7">
        <f t="shared" si="0"/>
        <v>104</v>
      </c>
      <c r="W7">
        <f t="shared" si="0"/>
        <v>176</v>
      </c>
      <c r="X7">
        <f t="shared" si="0"/>
        <v>200</v>
      </c>
      <c r="Y7">
        <f t="shared" si="0"/>
        <v>128</v>
      </c>
      <c r="Z7">
        <f t="shared" ref="Z7:AB7" si="1" xml:space="preserve"> 8 * CEILING(Z33 * $D$7 * Z34 * Z35 / 8, 1)</f>
        <v>208</v>
      </c>
      <c r="AA7">
        <f t="shared" si="1"/>
        <v>232</v>
      </c>
      <c r="AB7">
        <f t="shared" si="1"/>
        <v>144</v>
      </c>
    </row>
    <row r="8" spans="2:28" x14ac:dyDescent="0.35">
      <c r="B8" s="4" t="s">
        <v>6</v>
      </c>
      <c r="D8" s="6">
        <v>13</v>
      </c>
      <c r="E8" s="6">
        <v>13</v>
      </c>
      <c r="F8" s="6">
        <v>13</v>
      </c>
      <c r="G8" s="6">
        <v>13</v>
      </c>
      <c r="H8">
        <v>13</v>
      </c>
      <c r="I8">
        <v>13</v>
      </c>
      <c r="J8">
        <v>13</v>
      </c>
      <c r="K8">
        <v>13</v>
      </c>
      <c r="L8">
        <v>13</v>
      </c>
      <c r="M8">
        <v>13</v>
      </c>
      <c r="N8">
        <v>13</v>
      </c>
      <c r="O8">
        <v>13</v>
      </c>
      <c r="P8">
        <v>13</v>
      </c>
      <c r="Q8">
        <v>13</v>
      </c>
      <c r="R8">
        <v>13</v>
      </c>
      <c r="S8">
        <v>13</v>
      </c>
      <c r="T8">
        <v>13</v>
      </c>
      <c r="U8">
        <v>13</v>
      </c>
      <c r="V8">
        <v>13</v>
      </c>
      <c r="W8">
        <v>13</v>
      </c>
      <c r="X8">
        <v>13</v>
      </c>
      <c r="Y8">
        <v>13</v>
      </c>
      <c r="Z8">
        <v>13</v>
      </c>
      <c r="AA8">
        <v>13</v>
      </c>
      <c r="AB8">
        <v>13</v>
      </c>
    </row>
    <row r="9" spans="2:28" x14ac:dyDescent="0.35">
      <c r="B9" s="4" t="s">
        <v>7</v>
      </c>
      <c r="D9" s="6">
        <v>2</v>
      </c>
      <c r="E9" s="6">
        <v>2</v>
      </c>
      <c r="F9" s="6">
        <v>2</v>
      </c>
      <c r="G9" s="6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</row>
    <row r="10" spans="2:28" x14ac:dyDescent="0.35">
      <c r="B10" s="9" t="s">
        <v>8</v>
      </c>
      <c r="D10" s="6">
        <v>2</v>
      </c>
      <c r="E10" s="6">
        <v>2</v>
      </c>
      <c r="F10" s="6">
        <v>2</v>
      </c>
      <c r="G10" s="6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</row>
    <row r="11" spans="2:28" x14ac:dyDescent="0.35">
      <c r="B11" s="9" t="s">
        <v>9</v>
      </c>
      <c r="D11" s="6">
        <v>0</v>
      </c>
      <c r="E11" s="6">
        <v>0</v>
      </c>
      <c r="F11" s="6">
        <v>0</v>
      </c>
      <c r="G11" s="6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2:28" x14ac:dyDescent="0.35">
      <c r="B12" s="4" t="s">
        <v>165</v>
      </c>
      <c r="D12" s="6">
        <v>2</v>
      </c>
      <c r="E12" s="6">
        <v>2</v>
      </c>
      <c r="F12" s="6">
        <v>2</v>
      </c>
      <c r="G12" s="6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</row>
    <row r="13" spans="2:28" x14ac:dyDescent="0.35">
      <c r="B13" s="4" t="s">
        <v>166</v>
      </c>
      <c r="D13" s="6">
        <v>27</v>
      </c>
      <c r="E13" s="6">
        <v>27</v>
      </c>
      <c r="F13" s="6">
        <v>27</v>
      </c>
      <c r="G13" s="6">
        <v>27</v>
      </c>
      <c r="H13">
        <v>24</v>
      </c>
      <c r="I13">
        <v>13</v>
      </c>
      <c r="J13">
        <v>7</v>
      </c>
      <c r="K13">
        <v>24</v>
      </c>
      <c r="L13">
        <v>13</v>
      </c>
      <c r="M13">
        <v>7</v>
      </c>
      <c r="N13">
        <v>24</v>
      </c>
      <c r="O13">
        <v>13</v>
      </c>
      <c r="P13">
        <v>7</v>
      </c>
      <c r="Q13">
        <v>24</v>
      </c>
      <c r="R13">
        <v>13</v>
      </c>
      <c r="S13">
        <v>7</v>
      </c>
      <c r="T13">
        <v>24</v>
      </c>
      <c r="U13">
        <v>13</v>
      </c>
      <c r="V13">
        <v>7</v>
      </c>
      <c r="W13">
        <v>24</v>
      </c>
      <c r="X13">
        <v>13</v>
      </c>
      <c r="Y13">
        <v>7</v>
      </c>
      <c r="Z13">
        <v>24</v>
      </c>
      <c r="AA13">
        <v>13</v>
      </c>
      <c r="AB13">
        <v>7</v>
      </c>
    </row>
    <row r="14" spans="2:28" x14ac:dyDescent="0.35">
      <c r="B14" s="4" t="s">
        <v>12</v>
      </c>
      <c r="D14" s="6">
        <v>1</v>
      </c>
      <c r="E14" s="6">
        <v>1</v>
      </c>
      <c r="F14" s="6">
        <v>1</v>
      </c>
      <c r="G14" s="6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</row>
    <row r="15" spans="2:28" x14ac:dyDescent="0.35">
      <c r="B15" s="4" t="s">
        <v>13</v>
      </c>
      <c r="D15" s="6">
        <v>4</v>
      </c>
      <c r="E15" s="6">
        <v>4</v>
      </c>
      <c r="F15" s="6">
        <v>4</v>
      </c>
      <c r="G15" s="6">
        <v>4</v>
      </c>
      <c r="H15">
        <v>4</v>
      </c>
      <c r="I15">
        <v>2</v>
      </c>
      <c r="J15">
        <v>2</v>
      </c>
      <c r="K15">
        <v>4</v>
      </c>
      <c r="L15">
        <v>2</v>
      </c>
      <c r="M15">
        <v>2</v>
      </c>
      <c r="N15">
        <v>4</v>
      </c>
      <c r="O15">
        <v>2</v>
      </c>
      <c r="P15">
        <v>2</v>
      </c>
      <c r="Q15">
        <v>4</v>
      </c>
      <c r="R15">
        <v>2</v>
      </c>
      <c r="S15">
        <v>2</v>
      </c>
      <c r="T15">
        <v>4</v>
      </c>
      <c r="U15">
        <v>2</v>
      </c>
      <c r="V15">
        <v>2</v>
      </c>
      <c r="W15">
        <v>4</v>
      </c>
      <c r="X15">
        <v>2</v>
      </c>
      <c r="Y15">
        <v>2</v>
      </c>
      <c r="Z15">
        <v>4</v>
      </c>
      <c r="AA15">
        <v>2</v>
      </c>
      <c r="AB15">
        <v>2</v>
      </c>
    </row>
    <row r="16" spans="2:28" x14ac:dyDescent="0.35">
      <c r="B16" s="4" t="s">
        <v>14</v>
      </c>
      <c r="D16" s="6">
        <v>4</v>
      </c>
      <c r="E16" s="6">
        <v>4</v>
      </c>
      <c r="F16" s="6">
        <v>4</v>
      </c>
      <c r="G16" s="6">
        <v>4</v>
      </c>
      <c r="H16">
        <v>4</v>
      </c>
      <c r="I16">
        <v>2</v>
      </c>
      <c r="J16">
        <v>1</v>
      </c>
      <c r="K16">
        <v>4</v>
      </c>
      <c r="L16">
        <v>2</v>
      </c>
      <c r="M16">
        <v>1</v>
      </c>
      <c r="N16">
        <v>4</v>
      </c>
      <c r="O16">
        <v>2</v>
      </c>
      <c r="P16">
        <v>1</v>
      </c>
      <c r="Q16">
        <v>4</v>
      </c>
      <c r="R16">
        <v>2</v>
      </c>
      <c r="S16">
        <v>1</v>
      </c>
      <c r="T16">
        <v>4</v>
      </c>
      <c r="U16">
        <v>2</v>
      </c>
      <c r="V16">
        <v>1</v>
      </c>
      <c r="W16">
        <v>4</v>
      </c>
      <c r="X16">
        <v>2</v>
      </c>
      <c r="Y16">
        <v>1</v>
      </c>
      <c r="Z16">
        <v>4</v>
      </c>
      <c r="AA16">
        <v>2</v>
      </c>
      <c r="AB16">
        <v>1</v>
      </c>
    </row>
    <row r="17" spans="2:28" x14ac:dyDescent="0.35">
      <c r="B17" s="4" t="s">
        <v>15</v>
      </c>
      <c r="D17" s="6" t="s">
        <v>34</v>
      </c>
      <c r="E17" s="6" t="s">
        <v>34</v>
      </c>
      <c r="F17" s="6" t="s">
        <v>34</v>
      </c>
      <c r="G17" s="6" t="s">
        <v>34</v>
      </c>
      <c r="H17" s="6" t="s">
        <v>34</v>
      </c>
      <c r="I17" s="6" t="s">
        <v>34</v>
      </c>
      <c r="J17" s="6" t="s">
        <v>34</v>
      </c>
      <c r="K17" s="6" t="s">
        <v>34</v>
      </c>
      <c r="L17" s="6" t="s">
        <v>34</v>
      </c>
      <c r="M17" s="6" t="s">
        <v>34</v>
      </c>
      <c r="N17" s="6" t="s">
        <v>34</v>
      </c>
      <c r="O17" s="6" t="s">
        <v>34</v>
      </c>
      <c r="P17" s="6" t="s">
        <v>34</v>
      </c>
      <c r="Q17" s="6" t="s">
        <v>34</v>
      </c>
      <c r="R17" s="6" t="s">
        <v>34</v>
      </c>
      <c r="S17" s="6" t="s">
        <v>34</v>
      </c>
      <c r="T17" s="6" t="s">
        <v>34</v>
      </c>
      <c r="U17" s="6" t="s">
        <v>34</v>
      </c>
      <c r="V17" s="6" t="s">
        <v>34</v>
      </c>
      <c r="W17" s="6" t="s">
        <v>34</v>
      </c>
      <c r="X17" s="6" t="s">
        <v>34</v>
      </c>
      <c r="Y17" s="6" t="s">
        <v>34</v>
      </c>
      <c r="Z17" s="6" t="s">
        <v>34</v>
      </c>
      <c r="AA17" s="6" t="s">
        <v>34</v>
      </c>
      <c r="AB17" s="6" t="s">
        <v>34</v>
      </c>
    </row>
    <row r="18" spans="2:28" x14ac:dyDescent="0.35">
      <c r="B18" s="9" t="s">
        <v>16</v>
      </c>
      <c r="D18" s="6" t="s">
        <v>17</v>
      </c>
      <c r="E18" s="6" t="s">
        <v>17</v>
      </c>
      <c r="F18" s="6" t="s">
        <v>17</v>
      </c>
      <c r="G18" s="6" t="s">
        <v>17</v>
      </c>
      <c r="H18" s="6" t="s">
        <v>17</v>
      </c>
      <c r="I18" s="6" t="s">
        <v>17</v>
      </c>
      <c r="J18" s="6" t="s">
        <v>17</v>
      </c>
      <c r="K18" s="6" t="s">
        <v>17</v>
      </c>
      <c r="L18" s="6" t="s">
        <v>17</v>
      </c>
      <c r="M18" s="6" t="s">
        <v>17</v>
      </c>
      <c r="N18" s="6" t="s">
        <v>17</v>
      </c>
      <c r="O18" s="6" t="s">
        <v>17</v>
      </c>
      <c r="P18" s="6" t="s">
        <v>17</v>
      </c>
      <c r="Q18" s="6" t="s">
        <v>17</v>
      </c>
      <c r="R18" s="6" t="s">
        <v>17</v>
      </c>
      <c r="S18" s="6" t="s">
        <v>17</v>
      </c>
      <c r="T18" s="6" t="s">
        <v>17</v>
      </c>
      <c r="U18" s="6" t="s">
        <v>17</v>
      </c>
      <c r="V18" s="6" t="s">
        <v>17</v>
      </c>
      <c r="W18" s="6" t="s">
        <v>17</v>
      </c>
      <c r="X18" s="6" t="s">
        <v>17</v>
      </c>
      <c r="Y18" s="6" t="s">
        <v>17</v>
      </c>
      <c r="Z18" s="6" t="s">
        <v>17</v>
      </c>
      <c r="AA18" s="6" t="s">
        <v>17</v>
      </c>
      <c r="AB18" s="6" t="s">
        <v>17</v>
      </c>
    </row>
    <row r="19" spans="2:28" x14ac:dyDescent="0.35">
      <c r="B19" s="4" t="s">
        <v>18</v>
      </c>
      <c r="D19" s="6" t="s">
        <v>17</v>
      </c>
      <c r="E19" s="6" t="s">
        <v>17</v>
      </c>
      <c r="F19" s="6" t="s">
        <v>17</v>
      </c>
      <c r="G19" s="6" t="s">
        <v>17</v>
      </c>
      <c r="H19" s="6" t="s">
        <v>17</v>
      </c>
      <c r="I19" s="6" t="s">
        <v>17</v>
      </c>
      <c r="J19" s="6" t="s">
        <v>17</v>
      </c>
      <c r="K19" s="6" t="s">
        <v>17</v>
      </c>
      <c r="L19" s="6" t="s">
        <v>17</v>
      </c>
      <c r="M19" s="6" t="s">
        <v>17</v>
      </c>
      <c r="N19" s="6" t="s">
        <v>17</v>
      </c>
      <c r="O19" s="6" t="s">
        <v>17</v>
      </c>
      <c r="P19" s="6" t="s">
        <v>17</v>
      </c>
      <c r="Q19" s="6" t="s">
        <v>17</v>
      </c>
      <c r="R19" s="6" t="s">
        <v>17</v>
      </c>
      <c r="S19" s="6" t="s">
        <v>17</v>
      </c>
      <c r="T19" s="6" t="s">
        <v>17</v>
      </c>
      <c r="U19" s="6" t="s">
        <v>17</v>
      </c>
      <c r="V19" s="6" t="s">
        <v>17</v>
      </c>
      <c r="W19" s="6" t="s">
        <v>17</v>
      </c>
      <c r="X19" s="6" t="s">
        <v>17</v>
      </c>
      <c r="Y19" s="6" t="s">
        <v>17</v>
      </c>
      <c r="Z19" s="6" t="s">
        <v>17</v>
      </c>
      <c r="AA19" s="6" t="s">
        <v>17</v>
      </c>
      <c r="AB19" s="6" t="s">
        <v>17</v>
      </c>
    </row>
    <row r="20" spans="2:28" x14ac:dyDescent="0.35">
      <c r="B20" s="4" t="s">
        <v>19</v>
      </c>
      <c r="D20" s="6">
        <v>1</v>
      </c>
      <c r="E20" s="6">
        <v>1</v>
      </c>
      <c r="F20" s="6">
        <v>1</v>
      </c>
      <c r="G20" s="6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</row>
    <row r="21" spans="2:28" x14ac:dyDescent="0.35">
      <c r="B21" s="2" t="s">
        <v>20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</row>
    <row r="22" spans="2:28" x14ac:dyDescent="0.35">
      <c r="B22" s="7" t="s">
        <v>21</v>
      </c>
      <c r="D22" s="6" t="s">
        <v>22</v>
      </c>
      <c r="E22" s="6" t="s">
        <v>22</v>
      </c>
      <c r="F22" s="6" t="s">
        <v>22</v>
      </c>
      <c r="G22" s="6" t="s">
        <v>22</v>
      </c>
      <c r="H22" s="6" t="s">
        <v>22</v>
      </c>
      <c r="I22" s="6" t="s">
        <v>22</v>
      </c>
      <c r="J22" s="6" t="s">
        <v>22</v>
      </c>
      <c r="K22" s="6" t="s">
        <v>22</v>
      </c>
      <c r="L22" s="6" t="s">
        <v>22</v>
      </c>
      <c r="M22" s="6" t="s">
        <v>22</v>
      </c>
      <c r="N22" s="6" t="s">
        <v>22</v>
      </c>
      <c r="O22" s="6" t="s">
        <v>22</v>
      </c>
      <c r="P22" s="6" t="s">
        <v>22</v>
      </c>
      <c r="Q22" s="6" t="s">
        <v>22</v>
      </c>
      <c r="R22" s="6" t="s">
        <v>22</v>
      </c>
      <c r="S22" s="6" t="s">
        <v>22</v>
      </c>
      <c r="T22" s="6" t="s">
        <v>22</v>
      </c>
      <c r="U22" s="6" t="s">
        <v>22</v>
      </c>
      <c r="V22" s="6" t="s">
        <v>22</v>
      </c>
      <c r="W22" s="6" t="s">
        <v>22</v>
      </c>
      <c r="X22" s="6" t="s">
        <v>22</v>
      </c>
      <c r="Y22" s="6" t="s">
        <v>22</v>
      </c>
      <c r="Z22" s="6" t="s">
        <v>22</v>
      </c>
      <c r="AA22" s="6" t="s">
        <v>22</v>
      </c>
      <c r="AB22" s="6" t="s">
        <v>22</v>
      </c>
    </row>
    <row r="23" spans="2:28" x14ac:dyDescent="0.35">
      <c r="B23" s="7" t="s">
        <v>23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</row>
    <row r="24" spans="2:28" x14ac:dyDescent="0.35">
      <c r="B24" s="7" t="s">
        <v>24</v>
      </c>
      <c r="D24" s="6" t="s">
        <v>25</v>
      </c>
      <c r="E24" s="6" t="s">
        <v>25</v>
      </c>
      <c r="F24" s="6" t="s">
        <v>25</v>
      </c>
      <c r="G24" s="6" t="s">
        <v>25</v>
      </c>
      <c r="H24" s="6" t="s">
        <v>25</v>
      </c>
      <c r="I24" s="6" t="s">
        <v>25</v>
      </c>
      <c r="J24" s="6" t="s">
        <v>25</v>
      </c>
      <c r="K24" s="6" t="s">
        <v>25</v>
      </c>
      <c r="L24" s="6" t="s">
        <v>25</v>
      </c>
      <c r="M24" s="6" t="s">
        <v>25</v>
      </c>
      <c r="N24" s="6" t="s">
        <v>25</v>
      </c>
      <c r="O24" s="6" t="s">
        <v>25</v>
      </c>
      <c r="P24" s="6" t="s">
        <v>25</v>
      </c>
      <c r="Q24" s="6" t="s">
        <v>25</v>
      </c>
      <c r="R24" s="6" t="s">
        <v>25</v>
      </c>
      <c r="S24" s="6" t="s">
        <v>25</v>
      </c>
      <c r="T24" s="6" t="s">
        <v>25</v>
      </c>
      <c r="U24" s="6" t="s">
        <v>25</v>
      </c>
      <c r="V24" s="6" t="s">
        <v>25</v>
      </c>
      <c r="W24" s="6" t="s">
        <v>25</v>
      </c>
      <c r="X24" s="6" t="s">
        <v>25</v>
      </c>
      <c r="Y24" s="6" t="s">
        <v>25</v>
      </c>
      <c r="Z24" s="6" t="s">
        <v>25</v>
      </c>
      <c r="AA24" s="6" t="s">
        <v>25</v>
      </c>
      <c r="AB24" s="6" t="s">
        <v>25</v>
      </c>
    </row>
    <row r="25" spans="2:28" x14ac:dyDescent="0.35">
      <c r="B25" s="2" t="s">
        <v>26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</row>
    <row r="26" spans="2:28" x14ac:dyDescent="0.35">
      <c r="B26" s="14" t="s">
        <v>10</v>
      </c>
      <c r="D26" s="6" cm="1">
        <f t="array" ref="D26">Comm_MCS_ModOrd(D12,D13)</f>
        <v>8</v>
      </c>
      <c r="E26" s="6" cm="1">
        <f t="array" ref="E26">Comm_MCS_ModOrd(E12,E13)</f>
        <v>8</v>
      </c>
      <c r="F26" s="6" cm="1">
        <f t="array" ref="F26">Comm_MCS_ModOrd(F12,F13)</f>
        <v>8</v>
      </c>
      <c r="G26" s="6" cm="1">
        <f t="array" ref="G26">Comm_MCS_ModOrd(G12,G13)</f>
        <v>8</v>
      </c>
      <c r="H26" s="6" cm="1">
        <f t="array" ref="H26">Comm_MCS_ModOrd(H12,H13)</f>
        <v>8</v>
      </c>
      <c r="I26" s="6" cm="1">
        <f t="array" ref="I26">Comm_MCS_ModOrd(I12,I13)</f>
        <v>6</v>
      </c>
      <c r="J26" s="6" cm="1">
        <f t="array" ref="J26">Comm_MCS_ModOrd(J12,J13)</f>
        <v>4</v>
      </c>
      <c r="K26" s="6" cm="1">
        <f t="array" ref="K26">Comm_MCS_ModOrd(K12,K13)</f>
        <v>8</v>
      </c>
      <c r="L26" s="6" cm="1">
        <f t="array" ref="L26">Comm_MCS_ModOrd(L12,L13)</f>
        <v>6</v>
      </c>
      <c r="M26" s="6" cm="1">
        <f t="array" ref="M26">Comm_MCS_ModOrd(M12,M13)</f>
        <v>4</v>
      </c>
      <c r="N26" s="6" cm="1">
        <f t="array" ref="N26">Comm_MCS_ModOrd(N12,N13)</f>
        <v>8</v>
      </c>
      <c r="O26" s="6" cm="1">
        <f t="array" ref="O26">Comm_MCS_ModOrd(O12,O13)</f>
        <v>6</v>
      </c>
      <c r="P26" s="6" cm="1">
        <f t="array" ref="P26">Comm_MCS_ModOrd(P12,P13)</f>
        <v>4</v>
      </c>
      <c r="Q26" s="6" cm="1">
        <f t="array" ref="Q26">Comm_MCS_ModOrd(Q12,Q13)</f>
        <v>8</v>
      </c>
      <c r="R26" s="6" cm="1">
        <f t="array" ref="R26">Comm_MCS_ModOrd(R12,R13)</f>
        <v>6</v>
      </c>
      <c r="S26" s="6" cm="1">
        <f t="array" ref="S26">Comm_MCS_ModOrd(S12,S13)</f>
        <v>4</v>
      </c>
      <c r="T26" s="6" cm="1">
        <f t="array" ref="T26">Comm_MCS_ModOrd(T12,T13)</f>
        <v>8</v>
      </c>
      <c r="U26" s="6" cm="1">
        <f t="array" ref="U26">Comm_MCS_ModOrd(U12,U13)</f>
        <v>6</v>
      </c>
      <c r="V26" s="6" cm="1">
        <f t="array" ref="V26">Comm_MCS_ModOrd(V12,V13)</f>
        <v>4</v>
      </c>
      <c r="W26" s="6" cm="1">
        <f t="array" ref="W26">Comm_MCS_ModOrd(W12,W13)</f>
        <v>8</v>
      </c>
      <c r="X26" s="6" cm="1">
        <f t="array" ref="X26">Comm_MCS_ModOrd(X12,X13)</f>
        <v>6</v>
      </c>
      <c r="Y26" s="6" cm="1">
        <f t="array" ref="Y26">Comm_MCS_ModOrd(Y12,Y13)</f>
        <v>4</v>
      </c>
      <c r="Z26" s="6" cm="1">
        <f t="array" ref="Z26">Comm_MCS_ModOrd(Z12,Z13)</f>
        <v>8</v>
      </c>
      <c r="AA26" s="6" cm="1">
        <f t="array" ref="AA26">Comm_MCS_ModOrd(AA12,AA13)</f>
        <v>6</v>
      </c>
      <c r="AB26" s="6" cm="1">
        <f t="array" ref="AB26">Comm_MCS_ModOrd(AB12,AB13)</f>
        <v>4</v>
      </c>
    </row>
    <row r="27" spans="2:28" x14ac:dyDescent="0.35">
      <c r="B27" s="14" t="s">
        <v>11</v>
      </c>
      <c r="D27" s="6" cm="1">
        <f t="array" ref="D27">Comm_MCS_CodeRate(D12,D13)</f>
        <v>948</v>
      </c>
      <c r="E27" s="6" cm="1">
        <f t="array" ref="E27">Comm_MCS_CodeRate(E12,E13)</f>
        <v>948</v>
      </c>
      <c r="F27" s="6" cm="1">
        <f t="array" ref="F27">Comm_MCS_CodeRate(F12,F13)</f>
        <v>948</v>
      </c>
      <c r="G27" s="6" cm="1">
        <f t="array" ref="G27">Comm_MCS_CodeRate(G12,G13)</f>
        <v>948</v>
      </c>
      <c r="H27" s="6" cm="1">
        <f t="array" ref="H27">Comm_MCS_CodeRate(H12,H13)</f>
        <v>841</v>
      </c>
      <c r="I27" s="6" cm="1">
        <f t="array" ref="I27">Comm_MCS_CodeRate(I12,I13)</f>
        <v>567</v>
      </c>
      <c r="J27" s="6" cm="1">
        <f t="array" ref="J27">Comm_MCS_CodeRate(J12,J13)</f>
        <v>490</v>
      </c>
      <c r="K27" s="6" cm="1">
        <f t="array" ref="K27">Comm_MCS_CodeRate(K12,K13)</f>
        <v>841</v>
      </c>
      <c r="L27" s="6" cm="1">
        <f t="array" ref="L27">Comm_MCS_CodeRate(L12,L13)</f>
        <v>567</v>
      </c>
      <c r="M27" s="6" cm="1">
        <f t="array" ref="M27">Comm_MCS_CodeRate(M12,M13)</f>
        <v>490</v>
      </c>
      <c r="N27" s="6" cm="1">
        <f t="array" ref="N27">Comm_MCS_CodeRate(N12,N13)</f>
        <v>841</v>
      </c>
      <c r="O27" s="6" cm="1">
        <f t="array" ref="O27">Comm_MCS_CodeRate(O12,O13)</f>
        <v>567</v>
      </c>
      <c r="P27" s="6" cm="1">
        <f t="array" ref="P27">Comm_MCS_CodeRate(P12,P13)</f>
        <v>490</v>
      </c>
      <c r="Q27" s="6" cm="1">
        <f t="array" ref="Q27">Comm_MCS_CodeRate(Q12,Q13)</f>
        <v>841</v>
      </c>
      <c r="R27" s="6" cm="1">
        <f t="array" ref="R27">Comm_MCS_CodeRate(R12,R13)</f>
        <v>567</v>
      </c>
      <c r="S27" s="6" cm="1">
        <f t="array" ref="S27">Comm_MCS_CodeRate(S12,S13)</f>
        <v>490</v>
      </c>
      <c r="T27" s="6" cm="1">
        <f t="array" ref="T27">Comm_MCS_CodeRate(T12,T13)</f>
        <v>841</v>
      </c>
      <c r="U27" s="6" cm="1">
        <f t="array" ref="U27">Comm_MCS_CodeRate(U12,U13)</f>
        <v>567</v>
      </c>
      <c r="V27" s="6" cm="1">
        <f t="array" ref="V27">Comm_MCS_CodeRate(V12,V13)</f>
        <v>490</v>
      </c>
      <c r="W27" s="6" cm="1">
        <f t="array" ref="W27">Comm_MCS_CodeRate(W12,W13)</f>
        <v>841</v>
      </c>
      <c r="X27" s="6" cm="1">
        <f t="array" ref="X27">Comm_MCS_CodeRate(X12,X13)</f>
        <v>567</v>
      </c>
      <c r="Y27" s="6" cm="1">
        <f t="array" ref="Y27">Comm_MCS_CodeRate(Y12,Y13)</f>
        <v>490</v>
      </c>
      <c r="Z27" s="6" cm="1">
        <f t="array" ref="Z27">Comm_MCS_CodeRate(Z12,Z13)</f>
        <v>841</v>
      </c>
      <c r="AA27" s="6" cm="1">
        <f t="array" ref="AA27">Comm_MCS_CodeRate(AA12,AA13)</f>
        <v>567</v>
      </c>
      <c r="AB27" s="6" cm="1">
        <f t="array" ref="AB27">Comm_MCS_CodeRate(AB12,AB13)</f>
        <v>490</v>
      </c>
    </row>
    <row r="28" spans="2:28" x14ac:dyDescent="0.35">
      <c r="B28" s="1" t="s">
        <v>27</v>
      </c>
      <c r="D28" s="6" cm="1">
        <f t="array" ref="D28">Comm_Z(D7, D26, D27, D8, D9, D6/D15)</f>
        <v>384</v>
      </c>
      <c r="E28" s="6" cm="1">
        <f t="array" ref="E28">Comm_Z(E7, E26, E27, E8, E9, E6/E15)</f>
        <v>384</v>
      </c>
      <c r="F28" s="6" cm="1">
        <f t="array" ref="F28">Comm_Z(F7, F26, F27, F8, F9, F6/F15)</f>
        <v>384</v>
      </c>
      <c r="G28" s="6" cm="1">
        <f t="array" ref="G28">Comm_Z(G7, G26, G27, G8, G9, G6/G15)</f>
        <v>384</v>
      </c>
      <c r="H28" s="6" cm="1">
        <f t="array" ref="H28">Comm_Z(H7, H26, H27, H8, H9, H6/H15)</f>
        <v>384</v>
      </c>
      <c r="I28" s="6" cm="1">
        <f t="array" ref="I28">Comm_Z(I7, I26, I27, I8, I9, I6/I15)</f>
        <v>320</v>
      </c>
      <c r="J28" s="6" cm="1">
        <f t="array" ref="J28">Comm_Z(J7, J26, J27, J8, J9, J6/J15)</f>
        <v>288</v>
      </c>
      <c r="K28" s="6" cm="1">
        <f t="array" ref="K28">Comm_Z(K7, K26, K27, K8, K9, K6/K15)</f>
        <v>384</v>
      </c>
      <c r="L28" s="6" cm="1">
        <f t="array" ref="L28">Comm_Z(L7, L26, L27, L8, L9, L6/L15)</f>
        <v>384</v>
      </c>
      <c r="M28" s="6" cm="1">
        <f t="array" ref="M28">Comm_Z(M7, M26, M27, M8, M9, M6/M15)</f>
        <v>288</v>
      </c>
      <c r="N28" s="6" cm="1">
        <f t="array" ref="N28">Comm_Z(N7, N26, N27, N8, N9, N6/N15)</f>
        <v>384</v>
      </c>
      <c r="O28" s="6" cm="1">
        <f t="array" ref="O28">Comm_Z(O7, O26, O27, O8, O9, O6/O15)</f>
        <v>384</v>
      </c>
      <c r="P28" s="6" cm="1">
        <f t="array" ref="P28">Comm_Z(P7, P26, P27, P8, P9, P6/P15)</f>
        <v>384</v>
      </c>
      <c r="Q28" s="6" cm="1">
        <f t="array" ref="Q28">Comm_Z(Q7, Q26, Q27, Q8, Q9, Q6/Q15)</f>
        <v>384</v>
      </c>
      <c r="R28" s="6" cm="1">
        <f t="array" ref="R28">Comm_Z(R7, R26, R27, R8, R9, R6/R15)</f>
        <v>384</v>
      </c>
      <c r="S28" s="6" cm="1">
        <f t="array" ref="S28">Comm_Z(S7, S26, S27, S8, S9, S6/S15)</f>
        <v>352</v>
      </c>
      <c r="T28" s="6" cm="1">
        <f t="array" ref="T28">Comm_Z(T7, T26, T27, T8, T9, T6/T15)</f>
        <v>384</v>
      </c>
      <c r="U28" s="6" cm="1">
        <f t="array" ref="U28">Comm_Z(U7, U26, U27, U8, U9, U6/U15)</f>
        <v>384</v>
      </c>
      <c r="V28" s="6" cm="1">
        <f t="array" ref="V28">Comm_Z(V7, V26, V27, V8, V9, V6/V15)</f>
        <v>320</v>
      </c>
      <c r="W28" s="6" cm="1">
        <f t="array" ref="W28">Comm_Z(W7, W26, W27, W8, W9, W6/W15)</f>
        <v>384</v>
      </c>
      <c r="X28" s="6" cm="1">
        <f t="array" ref="X28">Comm_Z(X7, X26, X27, X8, X9, X6/X15)</f>
        <v>384</v>
      </c>
      <c r="Y28" s="6" cm="1">
        <f t="array" ref="Y28">Comm_Z(Y7, Y26, Y27, Y8, Y9, Y6/Y15)</f>
        <v>384</v>
      </c>
      <c r="Z28" s="6" cm="1">
        <f t="array" ref="Z28">Comm_Z(Z7, Z26, Z27, Z8, Z9, Z6/Z15)</f>
        <v>384</v>
      </c>
      <c r="AA28" s="6" cm="1">
        <f t="array" ref="AA28">Comm_Z(AA7, AA26, AA27, AA8, AA9, AA6/AA15)</f>
        <v>384</v>
      </c>
      <c r="AB28" s="6" cm="1">
        <f t="array" ref="AB28">Comm_Z(AB7, AB26, AB27, AB8, AB9, AB6/AB15)</f>
        <v>352</v>
      </c>
    </row>
    <row r="29" spans="2:28" x14ac:dyDescent="0.35">
      <c r="B29" s="1" t="s">
        <v>28</v>
      </c>
      <c r="D29" s="6" cm="1">
        <f t="array" ref="D29">Comm_TBS(D7, D26, D27, D8, D9, D6/D15)</f>
        <v>1081512</v>
      </c>
      <c r="E29" s="6" cm="1">
        <f t="array" ref="E29">Comm_TBS(E7, E26, E27, E8, E9, E6/E15)</f>
        <v>524640</v>
      </c>
      <c r="F29" s="6" cm="1">
        <f t="array" ref="F29">Comm_TBS(F7, F26, F27, F8, F9, F6/F15)</f>
        <v>200808</v>
      </c>
      <c r="G29" s="6" cm="1">
        <f t="array" ref="G29">Comm_TBS(G7, G26, G27, G8, G9, G6/G15)</f>
        <v>98376</v>
      </c>
      <c r="H29" s="6" cm="1">
        <f t="array" ref="H29">Comm_TBS(H7, H26, H27, H8, H9, H6/H15)</f>
        <v>110632</v>
      </c>
      <c r="I29" s="6" cm="1">
        <f t="array" ref="I29">Comm_TBS(I7, I26, I27, I8, I9, I6/I15)</f>
        <v>34816</v>
      </c>
      <c r="J29" s="6" cm="1">
        <f t="array" ref="J29">Comm_TBS(J7, J26, J27, J8, J9, J6/J15)</f>
        <v>6016</v>
      </c>
      <c r="K29" s="6" cm="1">
        <f t="array" ref="K29">Comm_TBS(K7, K26, K27, K8, K9, K6/K15)</f>
        <v>221376</v>
      </c>
      <c r="L29" s="6" cm="1">
        <f t="array" ref="L29">Comm_TBS(L7, L26, L27, L8, L9, L6/L15)</f>
        <v>63528</v>
      </c>
      <c r="M29" s="6" cm="1">
        <f t="array" ref="M29">Comm_TBS(M7, M26, M27, M8, M9, M6/M15)</f>
        <v>12040</v>
      </c>
      <c r="N29" s="6" cm="1">
        <f t="array" ref="N29">Comm_TBS(N7, N26, N27, N8, N9, N6/N15)</f>
        <v>303240</v>
      </c>
      <c r="O29" s="6" cm="1">
        <f t="array" ref="O29">Comm_TBS(O7, O26, O27, O8, O9, O6/O15)</f>
        <v>92200</v>
      </c>
      <c r="P29" s="6" cm="1">
        <f t="array" ref="P29">Comm_TBS(P7, P26, P27, P8, P9, P6/P15)</f>
        <v>16136</v>
      </c>
      <c r="Q29" s="6" cm="1">
        <f t="array" ref="Q29">Comm_TBS(Q7, Q26, Q27, Q8, Q9, Q6/Q15)</f>
        <v>417976</v>
      </c>
      <c r="R29" s="6" cm="1">
        <f t="array" ref="R29">Comm_TBS(R7, R26, R27, R8, R9, R6/R15)</f>
        <v>118896</v>
      </c>
      <c r="S29" s="6" cm="1">
        <f t="array" ref="S29">Comm_TBS(S7, S26, S27, S8, S9, S6/S15)</f>
        <v>22032</v>
      </c>
      <c r="T29" s="6" cm="1">
        <f t="array" ref="T29">Comm_TBS(T7, T26, T27, T8, T9, T6/T15)</f>
        <v>500136</v>
      </c>
      <c r="U29" s="6" cm="1">
        <f t="array" ref="U29">Comm_TBS(U7, U26, U27, U8, U9, U6/U15)</f>
        <v>147576</v>
      </c>
      <c r="V29" s="6" cm="1">
        <f t="array" ref="V29">Comm_TBS(V7, V26, V27, V8, V9, V6/V15)</f>
        <v>26120</v>
      </c>
      <c r="W29" s="6" cm="1">
        <f t="array" ref="W29">Comm_TBS(W7, W26, W27, W8, W9, W6/W15)</f>
        <v>606504</v>
      </c>
      <c r="X29" s="6" cm="1">
        <f t="array" ref="X29">Comm_TBS(X7, X26, X27, X8, X9, X6/X15)</f>
        <v>176208</v>
      </c>
      <c r="Y29" s="6" cm="1">
        <f t="array" ref="Y29">Comm_TBS(Y7, Y26, Y27, Y8, Y9, Y6/Y15)</f>
        <v>32264</v>
      </c>
      <c r="Z29" s="6" cm="1">
        <f t="array" ref="Z29">Comm_TBS(Z7, Z26, Z27, Z8, Z9, Z6/Z15)</f>
        <v>721000</v>
      </c>
      <c r="AA29" s="6" cm="1">
        <f t="array" ref="AA29">Comm_TBS(AA7, AA26, AA27, AA8, AA9, AA6/AA15)</f>
        <v>204976</v>
      </c>
      <c r="AB29" s="6" cm="1">
        <f t="array" ref="AB29">Comm_TBS(AB7, AB26, AB27, AB8, AB9, AB6/AB15)</f>
        <v>36896</v>
      </c>
    </row>
    <row r="30" spans="2:28" x14ac:dyDescent="0.35">
      <c r="B30" s="1" t="s">
        <v>29</v>
      </c>
      <c r="D30" s="6" cm="1">
        <f t="array" ref="D30">Comm_CB(D7, D26, D27, D8, D9, D6/D15)</f>
        <v>129</v>
      </c>
      <c r="E30" s="6" cm="1">
        <f t="array" ref="E30">Comm_CB(E7, E26, E27, E8, E9, E6/E15)</f>
        <v>63</v>
      </c>
      <c r="F30" s="6" cm="1">
        <f t="array" ref="F30">Comm_CB(F7, F26, F27, F8, F9, F6/F15)</f>
        <v>24</v>
      </c>
      <c r="G30" s="6" cm="1">
        <f t="array" ref="G30">Comm_CB(G7, G26, G27, G8, G9, G6/G15)</f>
        <v>12</v>
      </c>
      <c r="H30" s="6" cm="1">
        <f t="array" ref="H30">Comm_CB(H7, H26, H27, H8, H9, H6/H15)</f>
        <v>14</v>
      </c>
      <c r="I30" s="6" cm="1">
        <f t="array" ref="I30">Comm_CB(I7, I26, I27, I8, I9, I6/I15)</f>
        <v>5</v>
      </c>
      <c r="J30" s="6" cm="1">
        <f t="array" ref="J30">Comm_CB(J7, J26, J27, J8, J9, J6/J15)</f>
        <v>1</v>
      </c>
      <c r="K30" s="6" cm="1">
        <f t="array" ref="K30">Comm_CB(K7, K26, K27, K8, K9, K6/K15)</f>
        <v>27</v>
      </c>
      <c r="L30" s="6" cm="1">
        <f t="array" ref="L30">Comm_CB(L7, L26, L27, L8, L9, L6/L15)</f>
        <v>8</v>
      </c>
      <c r="M30" s="6" cm="1">
        <f t="array" ref="M30">Comm_CB(M7, M26, M27, M8, M9, M6/M15)</f>
        <v>2</v>
      </c>
      <c r="N30" s="6" cm="1">
        <f t="array" ref="N30">Comm_CB(N7, N26, N27, N8, N9, N6/N15)</f>
        <v>36</v>
      </c>
      <c r="O30" s="6" cm="1">
        <f t="array" ref="O30">Comm_CB(O7, O26, O27, O8, O9, O6/O15)</f>
        <v>11</v>
      </c>
      <c r="P30" s="6" cm="1">
        <f t="array" ref="P30">Comm_CB(P7, P26, P27, P8, P9, P6/P15)</f>
        <v>2</v>
      </c>
      <c r="Q30" s="6" cm="1">
        <f t="array" ref="Q30">Comm_CB(Q7, Q26, Q27, Q8, Q9, Q6/Q15)</f>
        <v>50</v>
      </c>
      <c r="R30" s="6" cm="1">
        <f t="array" ref="R30">Comm_CB(R7, R26, R27, R8, R9, R6/R15)</f>
        <v>15</v>
      </c>
      <c r="S30" s="6" cm="1">
        <f t="array" ref="S30">Comm_CB(S7, S26, S27, S8, S9, S6/S15)</f>
        <v>3</v>
      </c>
      <c r="T30" s="6" cm="1">
        <f t="array" ref="T30">Comm_CB(T7, T26, T27, T8, T9, T6/T15)</f>
        <v>60</v>
      </c>
      <c r="U30" s="6" cm="1">
        <f t="array" ref="U30">Comm_CB(U7, U26, U27, U8, U9, U6/U15)</f>
        <v>18</v>
      </c>
      <c r="V30" s="6" cm="1">
        <f t="array" ref="V30">Comm_CB(V7, V26, V27, V8, V9, V6/V15)</f>
        <v>4</v>
      </c>
      <c r="W30" s="6" cm="1">
        <f t="array" ref="W30">Comm_CB(W7, W26, W27, W8, W9, W6/W15)</f>
        <v>72</v>
      </c>
      <c r="X30" s="6" cm="1">
        <f t="array" ref="X30">Comm_CB(X7, X26, X27, X8, X9, X6/X15)</f>
        <v>21</v>
      </c>
      <c r="Y30" s="6" cm="1">
        <f t="array" ref="Y30">Comm_CB(Y7, Y26, Y27, Y8, Y9, Y6/Y15)</f>
        <v>4</v>
      </c>
      <c r="Z30" s="6" cm="1">
        <f t="array" ref="Z30">Comm_CB(Z7, Z26, Z27, Z8, Z9, Z6/Z15)</f>
        <v>86</v>
      </c>
      <c r="AA30" s="6" cm="1">
        <f t="array" ref="AA30">Comm_CB(AA7, AA26, AA27, AA8, AA9, AA6/AA15)</f>
        <v>25</v>
      </c>
      <c r="AB30" s="6" cm="1">
        <f t="array" ref="AB30">Comm_CB(AB7, AB26, AB27, AB8, AB9, AB6/AB15)</f>
        <v>5</v>
      </c>
    </row>
    <row r="31" spans="2:28" x14ac:dyDescent="0.35">
      <c r="B31" s="1" t="s">
        <v>30</v>
      </c>
      <c r="D31" s="6" cm="1">
        <f t="array" ref="D31">Comm_Parity_Nodes(D7, D26, D27, D8, D9, D6/D15)</f>
        <v>4</v>
      </c>
      <c r="E31" s="6" cm="1">
        <f t="array" ref="E31">Comm_Parity_Nodes(E7, E26, E27, E8, E9, E6/E15)</f>
        <v>4</v>
      </c>
      <c r="F31" s="6" cm="1">
        <f t="array" ref="F31">Comm_Parity_Nodes(F7, F26, F27, F8, F9, F6/F15)</f>
        <v>4</v>
      </c>
      <c r="G31" s="6" cm="1">
        <f t="array" ref="G31">Comm_Parity_Nodes(G7, G26, G27, G8, G9, G6/G15)</f>
        <v>4</v>
      </c>
      <c r="H31" s="6" cm="1">
        <f t="array" ref="H31">Comm_Parity_Nodes(H7, H26, H27, H8, H9, H6/H15)</f>
        <v>7</v>
      </c>
      <c r="I31" s="6" cm="1">
        <f t="array" ref="I31">Comm_Parity_Nodes(I7, I26, I27, I8, I9, I6/I15)</f>
        <v>20</v>
      </c>
      <c r="J31" s="6" cm="1">
        <f t="array" ref="J31">Comm_Parity_Nodes(J7, J26, J27, J8, J9, J6/J15)</f>
        <v>26</v>
      </c>
      <c r="K31" s="6" cm="1">
        <f t="array" ref="K31">Comm_Parity_Nodes(K7, K26, K27, K8, K9, K6/K15)</f>
        <v>7</v>
      </c>
      <c r="L31" s="6" cm="1">
        <f t="array" ref="L31">Comm_Parity_Nodes(L7, L26, L27, L8, L9, L6/L15)</f>
        <v>19</v>
      </c>
      <c r="M31" s="6" cm="1">
        <f t="array" ref="M31">Comm_Parity_Nodes(M7, M26, M27, M8, M9, M6/M15)</f>
        <v>25</v>
      </c>
      <c r="N31" s="6" cm="1">
        <f t="array" ref="N31">Comm_Parity_Nodes(N7, N26, N27, N8, N9, N6/N15)</f>
        <v>7</v>
      </c>
      <c r="O31" s="6" cm="1">
        <f t="array" ref="O31">Comm_Parity_Nodes(O7, O26, O27, O8, O9, O6/O15)</f>
        <v>20</v>
      </c>
      <c r="P31" s="6" cm="1">
        <f t="array" ref="P31">Comm_Parity_Nodes(P7, P26, P27, P8, P9, P6/P15)</f>
        <v>25</v>
      </c>
      <c r="Q31" s="6" cm="1">
        <f t="array" ref="Q31">Comm_Parity_Nodes(Q7, Q26, Q27, Q8, Q9, Q6/Q15)</f>
        <v>7</v>
      </c>
      <c r="R31" s="6" cm="1">
        <f t="array" ref="R31">Comm_Parity_Nodes(R7, R26, R27, R8, R9, R6/R15)</f>
        <v>19</v>
      </c>
      <c r="S31" s="6" cm="1">
        <f t="array" ref="S31">Comm_Parity_Nodes(S7, S26, S27, S8, S9, S6/S15)</f>
        <v>26</v>
      </c>
      <c r="T31" s="6" cm="1">
        <f t="array" ref="T31">Comm_Parity_Nodes(T7, T26, T27, T8, T9, T6/T15)</f>
        <v>7</v>
      </c>
      <c r="U31" s="6" cm="1">
        <f t="array" ref="U31">Comm_Parity_Nodes(U7, U26, U27, U8, U9, U6/U15)</f>
        <v>20</v>
      </c>
      <c r="V31" s="6" cm="1">
        <f t="array" ref="V31">Comm_Parity_Nodes(V7, V26, V27, V8, V9, V6/V15)</f>
        <v>25</v>
      </c>
      <c r="W31" s="6" cm="1">
        <f t="array" ref="W31">Comm_Parity_Nodes(W7, W26, W27, W8, W9, W6/W15)</f>
        <v>7</v>
      </c>
      <c r="X31" s="6" cm="1">
        <f t="array" ref="X31">Comm_Parity_Nodes(X7, X26, X27, X8, X9, X6/X15)</f>
        <v>20</v>
      </c>
      <c r="Y31" s="6" cm="1">
        <f t="array" ref="Y31">Comm_Parity_Nodes(Y7, Y26, Y27, Y8, Y9, Y6/Y15)</f>
        <v>25</v>
      </c>
      <c r="Z31" s="6" cm="1">
        <f t="array" ref="Z31">Comm_Parity_Nodes(Z7, Z26, Z27, Z8, Z9, Z6/Z15)</f>
        <v>7</v>
      </c>
      <c r="AA31" s="6" cm="1">
        <f t="array" ref="AA31">Comm_Parity_Nodes(AA7, AA26, AA27, AA8, AA9, AA6/AA15)</f>
        <v>19</v>
      </c>
      <c r="AB31" s="6" cm="1">
        <f t="array" ref="AB31">Comm_Parity_Nodes(AB7, AB26, AB27, AB8, AB9, AB6/AB15)</f>
        <v>25</v>
      </c>
    </row>
    <row r="32" spans="2:28" x14ac:dyDescent="0.35">
      <c r="J32" s="6"/>
      <c r="M32" s="6"/>
      <c r="P32" s="6"/>
      <c r="S32" s="6"/>
      <c r="V32" s="6"/>
      <c r="Y32" s="6"/>
      <c r="AB32" s="6"/>
    </row>
    <row r="33" spans="2:28" x14ac:dyDescent="0.35">
      <c r="B33" s="1" t="s">
        <v>102</v>
      </c>
      <c r="H33" s="6">
        <v>1</v>
      </c>
      <c r="I33" s="6">
        <v>1</v>
      </c>
      <c r="J33" s="6">
        <v>1</v>
      </c>
      <c r="K33" s="6">
        <v>2</v>
      </c>
      <c r="L33" s="6">
        <v>2</v>
      </c>
      <c r="M33" s="6">
        <v>2</v>
      </c>
      <c r="N33" s="6">
        <v>3</v>
      </c>
      <c r="O33" s="6">
        <v>3</v>
      </c>
      <c r="P33" s="6">
        <v>3</v>
      </c>
      <c r="Q33" s="6">
        <v>4</v>
      </c>
      <c r="R33" s="6">
        <v>4</v>
      </c>
      <c r="S33" s="6">
        <v>4</v>
      </c>
      <c r="T33" s="6">
        <v>5</v>
      </c>
      <c r="U33" s="6">
        <v>5</v>
      </c>
      <c r="V33" s="6">
        <v>5</v>
      </c>
      <c r="W33" s="6">
        <v>6</v>
      </c>
      <c r="X33" s="6">
        <v>6</v>
      </c>
      <c r="Y33" s="6">
        <v>6</v>
      </c>
      <c r="Z33" s="6">
        <v>7</v>
      </c>
      <c r="AA33" s="6">
        <v>7</v>
      </c>
      <c r="AB33" s="6">
        <v>7</v>
      </c>
    </row>
    <row r="34" spans="2:28" x14ac:dyDescent="0.35">
      <c r="B34" s="1" t="s">
        <v>103</v>
      </c>
      <c r="H34" s="6">
        <v>0.3</v>
      </c>
      <c r="I34" s="6">
        <v>0.3</v>
      </c>
      <c r="J34" s="6">
        <v>0.3</v>
      </c>
      <c r="K34" s="6">
        <v>0.3</v>
      </c>
      <c r="L34" s="6">
        <v>0.3</v>
      </c>
      <c r="M34" s="6">
        <v>0.3</v>
      </c>
      <c r="N34" s="6">
        <v>0.3</v>
      </c>
      <c r="O34" s="6">
        <v>0.3</v>
      </c>
      <c r="P34" s="6">
        <v>0.3</v>
      </c>
      <c r="Q34" s="6">
        <v>0.3</v>
      </c>
      <c r="R34" s="6">
        <v>0.3</v>
      </c>
      <c r="S34" s="6">
        <v>0.3</v>
      </c>
      <c r="T34" s="6">
        <v>0.3</v>
      </c>
      <c r="U34" s="6">
        <v>0.3</v>
      </c>
      <c r="V34" s="6">
        <v>0.3</v>
      </c>
      <c r="W34" s="6">
        <v>0.3</v>
      </c>
      <c r="X34" s="6">
        <v>0.3</v>
      </c>
      <c r="Y34" s="6">
        <v>0.3</v>
      </c>
      <c r="Z34" s="6">
        <v>0.3</v>
      </c>
      <c r="AA34" s="6">
        <v>0.3</v>
      </c>
      <c r="AB34" s="6">
        <v>0.3</v>
      </c>
    </row>
    <row r="35" spans="2:28" x14ac:dyDescent="0.35">
      <c r="B35" s="1" t="s">
        <v>104</v>
      </c>
      <c r="H35" s="6">
        <v>0.35</v>
      </c>
      <c r="I35" s="6">
        <v>0.4</v>
      </c>
      <c r="J35">
        <v>0.25</v>
      </c>
      <c r="K35" s="6">
        <v>0.35</v>
      </c>
      <c r="L35" s="6">
        <v>0.4</v>
      </c>
      <c r="M35">
        <v>0.25</v>
      </c>
      <c r="N35" s="6">
        <v>0.35</v>
      </c>
      <c r="O35" s="6">
        <v>0.4</v>
      </c>
      <c r="P35">
        <v>0.25</v>
      </c>
      <c r="Q35" s="6">
        <v>0.35</v>
      </c>
      <c r="R35" s="6">
        <v>0.4</v>
      </c>
      <c r="S35">
        <v>0.25</v>
      </c>
      <c r="T35" s="6">
        <v>0.35</v>
      </c>
      <c r="U35" s="6">
        <v>0.4</v>
      </c>
      <c r="V35">
        <v>0.25</v>
      </c>
      <c r="W35" s="6">
        <v>0.35</v>
      </c>
      <c r="X35" s="6">
        <v>0.4</v>
      </c>
      <c r="Y35">
        <v>0.25</v>
      </c>
      <c r="Z35" s="6">
        <v>0.35</v>
      </c>
      <c r="AA35" s="6">
        <v>0.4</v>
      </c>
      <c r="AB35">
        <v>0.25</v>
      </c>
    </row>
    <row r="36" spans="2:28" x14ac:dyDescent="0.35">
      <c r="B36" s="12" t="s">
        <v>145</v>
      </c>
      <c r="D36" s="13" t="s">
        <v>123</v>
      </c>
      <c r="E36" s="13"/>
      <c r="F36" s="13"/>
      <c r="G36" s="13"/>
      <c r="H36" s="13" t="s">
        <v>124</v>
      </c>
      <c r="I36" s="13" t="s">
        <v>125</v>
      </c>
      <c r="J36" s="13" t="s">
        <v>126</v>
      </c>
      <c r="K36" s="13" t="s">
        <v>127</v>
      </c>
      <c r="L36" s="13" t="s">
        <v>128</v>
      </c>
      <c r="M36" s="13" t="s">
        <v>129</v>
      </c>
      <c r="N36" s="13" t="s">
        <v>130</v>
      </c>
      <c r="O36" s="13" t="s">
        <v>131</v>
      </c>
      <c r="P36" s="13" t="s">
        <v>132</v>
      </c>
      <c r="Q36" s="13" t="s">
        <v>133</v>
      </c>
      <c r="R36" s="13" t="s">
        <v>134</v>
      </c>
      <c r="S36" s="13" t="s">
        <v>135</v>
      </c>
      <c r="T36" s="13" t="s">
        <v>136</v>
      </c>
      <c r="U36" s="13" t="s">
        <v>137</v>
      </c>
      <c r="V36" s="13" t="s">
        <v>138</v>
      </c>
      <c r="W36" s="13" t="s">
        <v>139</v>
      </c>
      <c r="X36" s="13" t="s">
        <v>140</v>
      </c>
      <c r="Y36" s="13" t="s">
        <v>141</v>
      </c>
      <c r="Z36" s="13" t="s">
        <v>142</v>
      </c>
      <c r="AA36" s="13" t="s">
        <v>143</v>
      </c>
      <c r="AB36" s="13" t="s">
        <v>144</v>
      </c>
    </row>
    <row r="38" spans="2:28" x14ac:dyDescent="0.35">
      <c r="S38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A6EA-F519-4893-A5D5-CB0001F506B8}">
  <sheetPr codeName="Sheet2"/>
  <dimension ref="B1:Y38"/>
  <sheetViews>
    <sheetView zoomScale="162" zoomScaleNormal="100" workbookViewId="0">
      <selection activeCell="R46" sqref="D37:R46"/>
    </sheetView>
  </sheetViews>
  <sheetFormatPr defaultColWidth="8.81640625" defaultRowHeight="14.5" x14ac:dyDescent="0.35"/>
  <cols>
    <col min="1" max="1" width="2.6328125" customWidth="1"/>
    <col min="2" max="2" width="28.81640625" customWidth="1"/>
    <col min="3" max="3" width="1.6328125" customWidth="1"/>
    <col min="4" max="25" width="12.6328125" style="6" customWidth="1"/>
  </cols>
  <sheetData>
    <row r="1" spans="2:25" x14ac:dyDescent="0.35"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2:25" x14ac:dyDescent="0.35">
      <c r="B2" s="3" t="s">
        <v>0</v>
      </c>
      <c r="D2" s="10" t="s">
        <v>36</v>
      </c>
      <c r="E2" s="10" t="s">
        <v>37</v>
      </c>
      <c r="F2" s="10" t="s">
        <v>38</v>
      </c>
      <c r="G2" s="10" t="s">
        <v>39</v>
      </c>
      <c r="H2" s="10" t="s">
        <v>40</v>
      </c>
      <c r="I2" s="10" t="s">
        <v>41</v>
      </c>
      <c r="J2" s="10" t="s">
        <v>42</v>
      </c>
      <c r="K2" s="10" t="s">
        <v>43</v>
      </c>
      <c r="L2" s="10" t="s">
        <v>44</v>
      </c>
      <c r="M2" s="10" t="s">
        <v>45</v>
      </c>
      <c r="N2" s="10" t="s">
        <v>46</v>
      </c>
      <c r="O2" s="10" t="s">
        <v>47</v>
      </c>
      <c r="P2" s="10" t="s">
        <v>48</v>
      </c>
      <c r="Q2" s="10" t="s">
        <v>49</v>
      </c>
      <c r="R2" s="10" t="s">
        <v>50</v>
      </c>
      <c r="S2" s="10" t="s">
        <v>51</v>
      </c>
      <c r="T2" s="10" t="s">
        <v>52</v>
      </c>
      <c r="U2" s="10" t="s">
        <v>53</v>
      </c>
      <c r="V2" s="10" t="s">
        <v>54</v>
      </c>
      <c r="W2" s="10" t="s">
        <v>108</v>
      </c>
      <c r="X2" s="10" t="s">
        <v>109</v>
      </c>
      <c r="Y2" s="10" t="s">
        <v>110</v>
      </c>
    </row>
    <row r="3" spans="2:25" x14ac:dyDescent="0.35">
      <c r="B3" s="4" t="s">
        <v>1</v>
      </c>
      <c r="D3" s="6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</row>
    <row r="4" spans="2:25" x14ac:dyDescent="0.35">
      <c r="B4" s="5" t="s">
        <v>2</v>
      </c>
      <c r="D4" s="6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</row>
    <row r="5" spans="2:25" x14ac:dyDescent="0.35">
      <c r="B5" s="5" t="s">
        <v>3</v>
      </c>
      <c r="D5" s="6">
        <v>16</v>
      </c>
      <c r="E5">
        <v>16</v>
      </c>
      <c r="F5">
        <v>16</v>
      </c>
      <c r="G5">
        <v>16</v>
      </c>
      <c r="H5">
        <v>16</v>
      </c>
      <c r="I5">
        <v>16</v>
      </c>
      <c r="J5">
        <v>16</v>
      </c>
      <c r="K5">
        <v>16</v>
      </c>
      <c r="L5">
        <v>16</v>
      </c>
      <c r="M5">
        <v>16</v>
      </c>
      <c r="N5">
        <v>16</v>
      </c>
      <c r="O5">
        <v>16</v>
      </c>
      <c r="P5">
        <v>16</v>
      </c>
      <c r="Q5">
        <v>16</v>
      </c>
      <c r="R5">
        <v>16</v>
      </c>
      <c r="S5">
        <v>16</v>
      </c>
      <c r="T5">
        <v>16</v>
      </c>
      <c r="U5">
        <v>16</v>
      </c>
      <c r="V5">
        <v>16</v>
      </c>
      <c r="W5">
        <v>16</v>
      </c>
      <c r="X5">
        <v>16</v>
      </c>
      <c r="Y5">
        <v>16</v>
      </c>
    </row>
    <row r="6" spans="2:25" x14ac:dyDescent="0.35">
      <c r="B6" s="5" t="s">
        <v>4</v>
      </c>
      <c r="D6" s="6">
        <v>8</v>
      </c>
      <c r="E6">
        <v>8</v>
      </c>
      <c r="F6">
        <v>2</v>
      </c>
      <c r="G6">
        <v>1</v>
      </c>
      <c r="H6">
        <v>8</v>
      </c>
      <c r="I6">
        <v>2</v>
      </c>
      <c r="J6">
        <v>1</v>
      </c>
      <c r="K6">
        <v>8</v>
      </c>
      <c r="L6">
        <v>2</v>
      </c>
      <c r="M6">
        <v>1</v>
      </c>
      <c r="N6">
        <v>8</v>
      </c>
      <c r="O6">
        <v>2</v>
      </c>
      <c r="P6">
        <v>1</v>
      </c>
      <c r="Q6">
        <v>8</v>
      </c>
      <c r="R6">
        <v>2</v>
      </c>
      <c r="S6">
        <v>1</v>
      </c>
      <c r="T6">
        <v>8</v>
      </c>
      <c r="U6">
        <v>2</v>
      </c>
      <c r="V6">
        <v>1</v>
      </c>
      <c r="W6">
        <v>8</v>
      </c>
      <c r="X6">
        <v>2</v>
      </c>
      <c r="Y6">
        <v>1</v>
      </c>
    </row>
    <row r="7" spans="2:25" x14ac:dyDescent="0.35">
      <c r="B7" s="4" t="s">
        <v>5</v>
      </c>
      <c r="D7" s="6">
        <v>272</v>
      </c>
      <c r="E7">
        <f>8 * CEILING(E33 * $D$7 * E34 *E35 / 8,1)</f>
        <v>32</v>
      </c>
      <c r="F7">
        <f t="shared" ref="F7:V7" si="0">8 * CEILING(F33 * $D$7 * F34 *F35 / 8,1)</f>
        <v>40</v>
      </c>
      <c r="G7">
        <f t="shared" si="0"/>
        <v>24</v>
      </c>
      <c r="H7">
        <f t="shared" si="0"/>
        <v>64</v>
      </c>
      <c r="I7">
        <f t="shared" si="0"/>
        <v>72</v>
      </c>
      <c r="J7">
        <f t="shared" si="0"/>
        <v>48</v>
      </c>
      <c r="K7">
        <f t="shared" si="0"/>
        <v>88</v>
      </c>
      <c r="L7">
        <f t="shared" si="0"/>
        <v>104</v>
      </c>
      <c r="M7">
        <f t="shared" si="0"/>
        <v>64</v>
      </c>
      <c r="N7">
        <f t="shared" si="0"/>
        <v>120</v>
      </c>
      <c r="O7">
        <f t="shared" si="0"/>
        <v>136</v>
      </c>
      <c r="P7">
        <f t="shared" si="0"/>
        <v>88</v>
      </c>
      <c r="Q7">
        <f t="shared" si="0"/>
        <v>144</v>
      </c>
      <c r="R7">
        <f t="shared" si="0"/>
        <v>168</v>
      </c>
      <c r="S7">
        <f t="shared" si="0"/>
        <v>104</v>
      </c>
      <c r="T7">
        <f t="shared" si="0"/>
        <v>176</v>
      </c>
      <c r="U7">
        <f t="shared" si="0"/>
        <v>200</v>
      </c>
      <c r="V7">
        <f t="shared" si="0"/>
        <v>128</v>
      </c>
      <c r="W7">
        <f t="shared" ref="W7:Y7" si="1">8 * CEILING(W33 * $D$7 * W34 *W35 / 8,1)</f>
        <v>200</v>
      </c>
      <c r="X7">
        <f t="shared" si="1"/>
        <v>232</v>
      </c>
      <c r="Y7">
        <f t="shared" si="1"/>
        <v>144</v>
      </c>
    </row>
    <row r="8" spans="2:25" x14ac:dyDescent="0.35">
      <c r="B8" s="4" t="s">
        <v>31</v>
      </c>
      <c r="D8" s="6">
        <v>14</v>
      </c>
      <c r="E8">
        <v>14</v>
      </c>
      <c r="F8">
        <v>14</v>
      </c>
      <c r="G8">
        <v>14</v>
      </c>
      <c r="H8">
        <v>14</v>
      </c>
      <c r="I8">
        <v>14</v>
      </c>
      <c r="J8">
        <v>14</v>
      </c>
      <c r="K8">
        <v>14</v>
      </c>
      <c r="L8">
        <v>14</v>
      </c>
      <c r="M8">
        <v>14</v>
      </c>
      <c r="N8">
        <v>14</v>
      </c>
      <c r="O8">
        <v>14</v>
      </c>
      <c r="P8">
        <v>14</v>
      </c>
      <c r="Q8">
        <v>14</v>
      </c>
      <c r="R8">
        <v>14</v>
      </c>
      <c r="S8">
        <v>14</v>
      </c>
      <c r="T8">
        <v>14</v>
      </c>
      <c r="U8">
        <v>14</v>
      </c>
      <c r="V8">
        <v>14</v>
      </c>
      <c r="W8">
        <v>14</v>
      </c>
      <c r="X8">
        <v>14</v>
      </c>
      <c r="Y8">
        <v>14</v>
      </c>
    </row>
    <row r="9" spans="2:25" x14ac:dyDescent="0.35">
      <c r="B9" s="4" t="s">
        <v>32</v>
      </c>
      <c r="D9" s="6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</row>
    <row r="10" spans="2:25" x14ac:dyDescent="0.35">
      <c r="B10" s="9" t="s">
        <v>8</v>
      </c>
      <c r="D10" s="6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</row>
    <row r="11" spans="2:25" x14ac:dyDescent="0.35">
      <c r="B11" s="9" t="s">
        <v>35</v>
      </c>
      <c r="D11" s="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2:25" x14ac:dyDescent="0.35">
      <c r="B12" s="4" t="s">
        <v>165</v>
      </c>
      <c r="D12" s="6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</row>
    <row r="13" spans="2:25" x14ac:dyDescent="0.35">
      <c r="B13" s="4" t="s">
        <v>166</v>
      </c>
      <c r="D13" s="6">
        <v>27</v>
      </c>
      <c r="E13">
        <v>24</v>
      </c>
      <c r="F13">
        <v>13</v>
      </c>
      <c r="G13">
        <v>7</v>
      </c>
      <c r="H13">
        <v>24</v>
      </c>
      <c r="I13">
        <v>13</v>
      </c>
      <c r="J13">
        <v>7</v>
      </c>
      <c r="K13">
        <v>24</v>
      </c>
      <c r="L13">
        <v>13</v>
      </c>
      <c r="M13">
        <v>7</v>
      </c>
      <c r="N13">
        <v>24</v>
      </c>
      <c r="O13">
        <v>13</v>
      </c>
      <c r="P13">
        <v>7</v>
      </c>
      <c r="Q13">
        <v>24</v>
      </c>
      <c r="R13">
        <v>13</v>
      </c>
      <c r="S13">
        <v>7</v>
      </c>
      <c r="T13">
        <v>24</v>
      </c>
      <c r="U13">
        <v>13</v>
      </c>
      <c r="V13">
        <v>7</v>
      </c>
      <c r="W13">
        <v>24</v>
      </c>
      <c r="X13">
        <v>13</v>
      </c>
      <c r="Y13">
        <v>7</v>
      </c>
    </row>
    <row r="14" spans="2:25" x14ac:dyDescent="0.35">
      <c r="B14" s="4" t="s">
        <v>12</v>
      </c>
      <c r="D14" s="6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</row>
    <row r="15" spans="2:25" x14ac:dyDescent="0.35">
      <c r="B15" s="4" t="s">
        <v>13</v>
      </c>
      <c r="D15" s="6">
        <v>2</v>
      </c>
      <c r="E15">
        <v>2</v>
      </c>
      <c r="F15">
        <v>2</v>
      </c>
      <c r="G15">
        <v>1</v>
      </c>
      <c r="H15">
        <v>2</v>
      </c>
      <c r="I15">
        <v>2</v>
      </c>
      <c r="J15">
        <v>1</v>
      </c>
      <c r="K15">
        <v>2</v>
      </c>
      <c r="L15">
        <v>2</v>
      </c>
      <c r="M15">
        <v>1</v>
      </c>
      <c r="N15">
        <v>2</v>
      </c>
      <c r="O15">
        <v>2</v>
      </c>
      <c r="P15">
        <v>1</v>
      </c>
      <c r="Q15">
        <v>2</v>
      </c>
      <c r="R15">
        <v>2</v>
      </c>
      <c r="S15">
        <v>1</v>
      </c>
      <c r="T15">
        <v>2</v>
      </c>
      <c r="U15">
        <v>2</v>
      </c>
      <c r="V15">
        <v>1</v>
      </c>
      <c r="W15">
        <v>2</v>
      </c>
      <c r="X15">
        <v>2</v>
      </c>
      <c r="Y15">
        <v>1</v>
      </c>
    </row>
    <row r="16" spans="2:25" x14ac:dyDescent="0.35">
      <c r="B16" s="4" t="s">
        <v>14</v>
      </c>
      <c r="D16" s="6">
        <v>4</v>
      </c>
      <c r="E16">
        <v>4</v>
      </c>
      <c r="F16">
        <v>1</v>
      </c>
      <c r="G16">
        <v>1</v>
      </c>
      <c r="H16">
        <v>4</v>
      </c>
      <c r="I16">
        <v>1</v>
      </c>
      <c r="J16">
        <v>1</v>
      </c>
      <c r="K16">
        <v>4</v>
      </c>
      <c r="L16">
        <v>1</v>
      </c>
      <c r="M16">
        <v>1</v>
      </c>
      <c r="N16">
        <v>4</v>
      </c>
      <c r="O16">
        <v>1</v>
      </c>
      <c r="P16">
        <v>1</v>
      </c>
      <c r="Q16">
        <v>4</v>
      </c>
      <c r="R16">
        <v>1</v>
      </c>
      <c r="S16">
        <v>1</v>
      </c>
      <c r="T16">
        <v>4</v>
      </c>
      <c r="U16">
        <v>1</v>
      </c>
      <c r="V16">
        <v>1</v>
      </c>
      <c r="W16">
        <v>4</v>
      </c>
      <c r="X16">
        <v>1</v>
      </c>
      <c r="Y16">
        <v>1</v>
      </c>
    </row>
    <row r="17" spans="2:25" x14ac:dyDescent="0.35">
      <c r="B17" s="4" t="s">
        <v>33</v>
      </c>
      <c r="D17" s="6" t="s">
        <v>34</v>
      </c>
      <c r="E17" s="6" t="s">
        <v>34</v>
      </c>
      <c r="F17" s="6" t="s">
        <v>34</v>
      </c>
      <c r="G17" s="6" t="s">
        <v>34</v>
      </c>
      <c r="H17" s="6" t="s">
        <v>34</v>
      </c>
      <c r="I17" s="6" t="s">
        <v>34</v>
      </c>
      <c r="J17" s="6" t="s">
        <v>34</v>
      </c>
      <c r="K17" s="6" t="s">
        <v>34</v>
      </c>
      <c r="L17" s="6" t="s">
        <v>34</v>
      </c>
      <c r="M17" s="6" t="s">
        <v>34</v>
      </c>
      <c r="N17" s="6" t="s">
        <v>34</v>
      </c>
      <c r="O17" s="6" t="s">
        <v>34</v>
      </c>
      <c r="P17" s="6" t="s">
        <v>34</v>
      </c>
      <c r="Q17" s="6" t="s">
        <v>34</v>
      </c>
      <c r="R17" s="6" t="s">
        <v>34</v>
      </c>
      <c r="S17" s="6" t="s">
        <v>34</v>
      </c>
      <c r="T17" s="6" t="s">
        <v>34</v>
      </c>
      <c r="U17" s="6" t="s">
        <v>34</v>
      </c>
      <c r="V17" s="6" t="s">
        <v>34</v>
      </c>
      <c r="W17" s="6" t="s">
        <v>34</v>
      </c>
      <c r="X17" s="6" t="s">
        <v>34</v>
      </c>
      <c r="Y17" s="6" t="s">
        <v>34</v>
      </c>
    </row>
    <row r="18" spans="2:25" x14ac:dyDescent="0.35">
      <c r="B18" s="9" t="s">
        <v>16</v>
      </c>
      <c r="D18" s="6" t="s">
        <v>17</v>
      </c>
      <c r="E18" s="6" t="s">
        <v>17</v>
      </c>
      <c r="F18" s="6" t="s">
        <v>17</v>
      </c>
      <c r="G18" s="6" t="s">
        <v>17</v>
      </c>
      <c r="H18" s="6" t="s">
        <v>17</v>
      </c>
      <c r="I18" s="6" t="s">
        <v>17</v>
      </c>
      <c r="J18" s="6" t="s">
        <v>17</v>
      </c>
      <c r="K18" s="6" t="s">
        <v>17</v>
      </c>
      <c r="L18" s="6" t="s">
        <v>17</v>
      </c>
      <c r="M18" s="6" t="s">
        <v>17</v>
      </c>
      <c r="N18" s="6" t="s">
        <v>17</v>
      </c>
      <c r="O18" s="6" t="s">
        <v>17</v>
      </c>
      <c r="P18" s="6" t="s">
        <v>17</v>
      </c>
      <c r="Q18" s="6" t="s">
        <v>17</v>
      </c>
      <c r="R18" s="6" t="s">
        <v>17</v>
      </c>
      <c r="S18" s="6" t="s">
        <v>17</v>
      </c>
      <c r="T18" s="6" t="s">
        <v>17</v>
      </c>
      <c r="U18" s="6" t="s">
        <v>17</v>
      </c>
      <c r="V18" s="6" t="s">
        <v>17</v>
      </c>
      <c r="W18" s="6" t="s">
        <v>17</v>
      </c>
      <c r="X18" s="6" t="s">
        <v>17</v>
      </c>
      <c r="Y18" s="6" t="s">
        <v>17</v>
      </c>
    </row>
    <row r="19" spans="2:25" x14ac:dyDescent="0.35">
      <c r="B19" s="4" t="s">
        <v>18</v>
      </c>
      <c r="D19" s="6" t="s">
        <v>17</v>
      </c>
      <c r="E19" s="6" t="s">
        <v>17</v>
      </c>
      <c r="F19" s="6" t="s">
        <v>17</v>
      </c>
      <c r="G19" s="6" t="s">
        <v>17</v>
      </c>
      <c r="H19" s="6" t="s">
        <v>17</v>
      </c>
      <c r="I19" s="6" t="s">
        <v>17</v>
      </c>
      <c r="J19" s="6" t="s">
        <v>17</v>
      </c>
      <c r="K19" s="6" t="s">
        <v>17</v>
      </c>
      <c r="L19" s="6" t="s">
        <v>17</v>
      </c>
      <c r="M19" s="6" t="s">
        <v>17</v>
      </c>
      <c r="N19" s="6" t="s">
        <v>17</v>
      </c>
      <c r="O19" s="6" t="s">
        <v>17</v>
      </c>
      <c r="P19" s="6" t="s">
        <v>17</v>
      </c>
      <c r="Q19" s="6" t="s">
        <v>17</v>
      </c>
      <c r="R19" s="6" t="s">
        <v>17</v>
      </c>
      <c r="S19" s="6" t="s">
        <v>17</v>
      </c>
      <c r="T19" s="6" t="s">
        <v>17</v>
      </c>
      <c r="U19" s="6" t="s">
        <v>17</v>
      </c>
      <c r="V19" s="6" t="s">
        <v>17</v>
      </c>
      <c r="W19" s="6" t="s">
        <v>17</v>
      </c>
      <c r="X19" s="6" t="s">
        <v>17</v>
      </c>
      <c r="Y19" s="6" t="s">
        <v>17</v>
      </c>
    </row>
    <row r="20" spans="2:25" x14ac:dyDescent="0.35">
      <c r="B20" s="4" t="s">
        <v>19</v>
      </c>
      <c r="D20" s="6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</row>
    <row r="21" spans="2:25" x14ac:dyDescent="0.35">
      <c r="B21" s="2" t="s">
        <v>20</v>
      </c>
      <c r="D21" s="8"/>
      <c r="E21" s="8"/>
      <c r="F21" s="11"/>
      <c r="G21" s="11"/>
      <c r="H21" s="8"/>
      <c r="I21" s="11"/>
      <c r="J21" s="11"/>
      <c r="K21" s="8"/>
      <c r="L21" s="11"/>
      <c r="M21" s="11"/>
      <c r="N21" s="8"/>
      <c r="O21" s="11"/>
      <c r="P21" s="11"/>
      <c r="Q21" s="8"/>
      <c r="R21" s="11"/>
      <c r="S21" s="11"/>
      <c r="T21" s="8"/>
      <c r="U21" s="11"/>
      <c r="V21" s="11"/>
      <c r="W21" s="8"/>
      <c r="X21" s="11"/>
      <c r="Y21" s="11"/>
    </row>
    <row r="22" spans="2:25" x14ac:dyDescent="0.35">
      <c r="B22" s="7" t="s">
        <v>21</v>
      </c>
      <c r="D22" s="6" t="s">
        <v>22</v>
      </c>
      <c r="E22" s="6" t="s">
        <v>22</v>
      </c>
      <c r="F22" s="6" t="s">
        <v>22</v>
      </c>
      <c r="G22" s="6" t="s">
        <v>22</v>
      </c>
      <c r="H22" s="6" t="s">
        <v>22</v>
      </c>
      <c r="I22" s="6" t="s">
        <v>22</v>
      </c>
      <c r="J22" s="6" t="s">
        <v>22</v>
      </c>
      <c r="K22" s="6" t="s">
        <v>22</v>
      </c>
      <c r="L22" s="6" t="s">
        <v>22</v>
      </c>
      <c r="M22" s="6" t="s">
        <v>22</v>
      </c>
      <c r="N22" s="6" t="s">
        <v>22</v>
      </c>
      <c r="O22" s="6" t="s">
        <v>22</v>
      </c>
      <c r="P22" s="6" t="s">
        <v>22</v>
      </c>
      <c r="Q22" s="6" t="s">
        <v>22</v>
      </c>
      <c r="R22" s="6" t="s">
        <v>22</v>
      </c>
      <c r="S22" s="6" t="s">
        <v>22</v>
      </c>
      <c r="T22" s="6" t="s">
        <v>22</v>
      </c>
      <c r="U22" s="6" t="s">
        <v>22</v>
      </c>
      <c r="V22" s="6" t="s">
        <v>22</v>
      </c>
      <c r="W22" s="6" t="s">
        <v>22</v>
      </c>
      <c r="X22" s="6" t="s">
        <v>22</v>
      </c>
      <c r="Y22" s="6" t="s">
        <v>22</v>
      </c>
    </row>
    <row r="23" spans="2:25" x14ac:dyDescent="0.35">
      <c r="B23" s="7" t="s">
        <v>23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</row>
    <row r="24" spans="2:25" x14ac:dyDescent="0.35">
      <c r="B24" s="7" t="s">
        <v>24</v>
      </c>
      <c r="D24" s="6" t="s">
        <v>25</v>
      </c>
      <c r="E24" s="6" t="s">
        <v>25</v>
      </c>
      <c r="F24" s="6" t="s">
        <v>25</v>
      </c>
      <c r="G24" s="6" t="s">
        <v>25</v>
      </c>
      <c r="H24" s="6" t="s">
        <v>25</v>
      </c>
      <c r="I24" s="6" t="s">
        <v>25</v>
      </c>
      <c r="J24" s="6" t="s">
        <v>25</v>
      </c>
      <c r="K24" s="6" t="s">
        <v>25</v>
      </c>
      <c r="L24" s="6" t="s">
        <v>25</v>
      </c>
      <c r="M24" s="6" t="s">
        <v>25</v>
      </c>
      <c r="N24" s="6" t="s">
        <v>25</v>
      </c>
      <c r="O24" s="6" t="s">
        <v>25</v>
      </c>
      <c r="P24" s="6" t="s">
        <v>25</v>
      </c>
      <c r="Q24" s="6" t="s">
        <v>25</v>
      </c>
      <c r="R24" s="6" t="s">
        <v>25</v>
      </c>
      <c r="S24" s="6" t="s">
        <v>25</v>
      </c>
      <c r="T24" s="6" t="s">
        <v>25</v>
      </c>
      <c r="U24" s="6" t="s">
        <v>25</v>
      </c>
      <c r="V24" s="6" t="s">
        <v>25</v>
      </c>
      <c r="W24" s="6" t="s">
        <v>25</v>
      </c>
      <c r="X24" s="6" t="s">
        <v>25</v>
      </c>
      <c r="Y24" s="6" t="s">
        <v>25</v>
      </c>
    </row>
    <row r="25" spans="2:25" x14ac:dyDescent="0.35">
      <c r="B25" s="2" t="s">
        <v>26</v>
      </c>
      <c r="D25" s="8"/>
      <c r="E25" s="8"/>
      <c r="F25" s="11"/>
      <c r="G25" s="11"/>
      <c r="H25" s="8"/>
      <c r="I25" s="11"/>
      <c r="J25" s="11"/>
      <c r="K25" s="8"/>
      <c r="L25" s="11"/>
      <c r="M25" s="11"/>
      <c r="N25" s="8"/>
      <c r="O25" s="11"/>
      <c r="P25" s="11"/>
      <c r="Q25" s="8"/>
      <c r="R25" s="11"/>
      <c r="S25" s="11"/>
      <c r="T25" s="8"/>
      <c r="U25" s="11"/>
      <c r="V25" s="11"/>
      <c r="W25" s="8"/>
      <c r="X25" s="11"/>
      <c r="Y25" s="11"/>
    </row>
    <row r="26" spans="2:25" x14ac:dyDescent="0.35">
      <c r="B26" s="14" t="s">
        <v>10</v>
      </c>
      <c r="D26" s="6" cm="1">
        <f t="array" ref="D26">Comm_MCS_ModOrd(D12,D13)</f>
        <v>8</v>
      </c>
      <c r="E26" s="6" cm="1">
        <f t="array" ref="E26">Comm_MCS_ModOrd(E12,E13)</f>
        <v>8</v>
      </c>
      <c r="F26" s="6" cm="1">
        <f t="array" ref="F26">Comm_MCS_ModOrd(F12,F13)</f>
        <v>6</v>
      </c>
      <c r="G26" s="6" cm="1">
        <f t="array" ref="G26">Comm_MCS_ModOrd(G12,G13)</f>
        <v>4</v>
      </c>
      <c r="H26" s="6" cm="1">
        <f t="array" ref="H26">Comm_MCS_ModOrd(H12,H13)</f>
        <v>8</v>
      </c>
      <c r="I26" s="6" cm="1">
        <f t="array" ref="I26">Comm_MCS_ModOrd(I12,I13)</f>
        <v>6</v>
      </c>
      <c r="J26" s="6" cm="1">
        <f t="array" ref="J26">Comm_MCS_ModOrd(J12,J13)</f>
        <v>4</v>
      </c>
      <c r="K26" s="6" cm="1">
        <f t="array" ref="K26">Comm_MCS_ModOrd(K12,K13)</f>
        <v>8</v>
      </c>
      <c r="L26" s="6" cm="1">
        <f t="array" ref="L26">Comm_MCS_ModOrd(L12,L13)</f>
        <v>6</v>
      </c>
      <c r="M26" s="6" cm="1">
        <f t="array" ref="M26">Comm_MCS_ModOrd(M12,M13)</f>
        <v>4</v>
      </c>
      <c r="N26" s="6" cm="1">
        <f t="array" ref="N26">Comm_MCS_ModOrd(N12,N13)</f>
        <v>8</v>
      </c>
      <c r="O26" s="6" cm="1">
        <f t="array" ref="O26">Comm_MCS_ModOrd(O12,O13)</f>
        <v>6</v>
      </c>
      <c r="P26" s="6" cm="1">
        <f t="array" ref="P26">Comm_MCS_ModOrd(P12,P13)</f>
        <v>4</v>
      </c>
      <c r="Q26" s="6" cm="1">
        <f t="array" ref="Q26">Comm_MCS_ModOrd(Q12,Q13)</f>
        <v>8</v>
      </c>
      <c r="R26" s="6" cm="1">
        <f t="array" ref="R26">Comm_MCS_ModOrd(R12,R13)</f>
        <v>6</v>
      </c>
      <c r="S26" s="6" cm="1">
        <f t="array" ref="S26">Comm_MCS_ModOrd(S12,S13)</f>
        <v>4</v>
      </c>
      <c r="T26" s="6" cm="1">
        <f t="array" ref="T26">Comm_MCS_ModOrd(T12,T13)</f>
        <v>8</v>
      </c>
      <c r="U26" s="6" cm="1">
        <f t="array" ref="U26">Comm_MCS_ModOrd(U12,U13)</f>
        <v>6</v>
      </c>
      <c r="V26" s="6" cm="1">
        <f t="array" ref="V26">Comm_MCS_ModOrd(V12,V13)</f>
        <v>4</v>
      </c>
      <c r="W26" s="6" cm="1">
        <f t="array" ref="W26">Comm_MCS_ModOrd(W12,W13)</f>
        <v>8</v>
      </c>
      <c r="X26" s="6" cm="1">
        <f t="array" ref="X26">Comm_MCS_ModOrd(X12,X13)</f>
        <v>6</v>
      </c>
      <c r="Y26" s="6" cm="1">
        <f t="array" ref="Y26">Comm_MCS_ModOrd(Y12,Y13)</f>
        <v>4</v>
      </c>
    </row>
    <row r="27" spans="2:25" x14ac:dyDescent="0.35">
      <c r="B27" s="14" t="s">
        <v>11</v>
      </c>
      <c r="D27" s="6" cm="1">
        <f t="array" ref="D27">Comm_MCS_CodeRate(D12,D13)</f>
        <v>948</v>
      </c>
      <c r="E27" s="6" cm="1">
        <f t="array" ref="E27">Comm_MCS_CodeRate(E12,E13)</f>
        <v>841</v>
      </c>
      <c r="F27" s="6" cm="1">
        <f t="array" ref="F27">Comm_MCS_CodeRate(F12,F13)</f>
        <v>567</v>
      </c>
      <c r="G27" s="6" cm="1">
        <f t="array" ref="G27">Comm_MCS_CodeRate(G12,G13)</f>
        <v>490</v>
      </c>
      <c r="H27" s="6" cm="1">
        <f t="array" ref="H27">Comm_MCS_CodeRate(H12,H13)</f>
        <v>841</v>
      </c>
      <c r="I27" s="6" cm="1">
        <f t="array" ref="I27">Comm_MCS_CodeRate(I12,I13)</f>
        <v>567</v>
      </c>
      <c r="J27" s="6" cm="1">
        <f t="array" ref="J27">Comm_MCS_CodeRate(J12,J13)</f>
        <v>490</v>
      </c>
      <c r="K27" s="6" cm="1">
        <f t="array" ref="K27">Comm_MCS_CodeRate(K12,K13)</f>
        <v>841</v>
      </c>
      <c r="L27" s="6" cm="1">
        <f t="array" ref="L27">Comm_MCS_CodeRate(L12,L13)</f>
        <v>567</v>
      </c>
      <c r="M27" s="6" cm="1">
        <f t="array" ref="M27">Comm_MCS_CodeRate(M12,M13)</f>
        <v>490</v>
      </c>
      <c r="N27" s="6" cm="1">
        <f t="array" ref="N27">Comm_MCS_CodeRate(N12,N13)</f>
        <v>841</v>
      </c>
      <c r="O27" s="6" cm="1">
        <f t="array" ref="O27">Comm_MCS_CodeRate(O12,O13)</f>
        <v>567</v>
      </c>
      <c r="P27" s="6" cm="1">
        <f t="array" ref="P27">Comm_MCS_CodeRate(P12,P13)</f>
        <v>490</v>
      </c>
      <c r="Q27" s="6" cm="1">
        <f t="array" ref="Q27">Comm_MCS_CodeRate(Q12,Q13)</f>
        <v>841</v>
      </c>
      <c r="R27" s="6" cm="1">
        <f t="array" ref="R27">Comm_MCS_CodeRate(R12,R13)</f>
        <v>567</v>
      </c>
      <c r="S27" s="6" cm="1">
        <f t="array" ref="S27">Comm_MCS_CodeRate(S12,S13)</f>
        <v>490</v>
      </c>
      <c r="T27" s="6" cm="1">
        <f t="array" ref="T27">Comm_MCS_CodeRate(T12,T13)</f>
        <v>841</v>
      </c>
      <c r="U27" s="6" cm="1">
        <f t="array" ref="U27">Comm_MCS_CodeRate(U12,U13)</f>
        <v>567</v>
      </c>
      <c r="V27" s="6" cm="1">
        <f t="array" ref="V27">Comm_MCS_CodeRate(V12,V13)</f>
        <v>490</v>
      </c>
      <c r="W27" s="6" cm="1">
        <f t="array" ref="W27">Comm_MCS_CodeRate(W12,W13)</f>
        <v>841</v>
      </c>
      <c r="X27" s="6" cm="1">
        <f t="array" ref="X27">Comm_MCS_CodeRate(X12,X13)</f>
        <v>567</v>
      </c>
      <c r="Y27" s="6" cm="1">
        <f t="array" ref="Y27">Comm_MCS_CodeRate(Y12,Y13)</f>
        <v>490</v>
      </c>
    </row>
    <row r="28" spans="2:25" x14ac:dyDescent="0.35">
      <c r="B28" s="1" t="s">
        <v>27</v>
      </c>
      <c r="D28" s="6" cm="1">
        <f t="array" ref="D28">Comm_Z(D7, D26, D27, D8, D9, D6/D15)</f>
        <v>384</v>
      </c>
      <c r="E28" s="6" cm="1">
        <f t="array" ref="E28">Comm_Z(E7, E26, E27, E8, E9, E6/E15)</f>
        <v>384</v>
      </c>
      <c r="F28" s="6" cm="1">
        <f t="array" ref="F28">Comm_Z(F7, F26, F27, F8, F9, F6/F15)</f>
        <v>320</v>
      </c>
      <c r="G28" s="6" cm="1">
        <f t="array" ref="G28">Comm_Z(G7, G26, G27, G8, G9, G6/G15)</f>
        <v>320</v>
      </c>
      <c r="H28" s="6" cm="1">
        <f t="array" ref="H28">Comm_Z(H7, H26, H27, H8, H9, H6/H15)</f>
        <v>384</v>
      </c>
      <c r="I28" s="6" cm="1">
        <f t="array" ref="I28">Comm_Z(I7, I26, I27, I8, I9, I6/I15)</f>
        <v>320</v>
      </c>
      <c r="J28" s="6" cm="1">
        <f t="array" ref="J28">Comm_Z(J7, J26, J27, J8, J9, J6/J15)</f>
        <v>320</v>
      </c>
      <c r="K28" s="6" cm="1">
        <f t="array" ref="K28">Comm_Z(K7, K26, K27, K8, K9, K6/K15)</f>
        <v>384</v>
      </c>
      <c r="L28" s="6" cm="1">
        <f t="array" ref="L28">Comm_Z(L7, L26, L27, L8, L9, L6/L15)</f>
        <v>384</v>
      </c>
      <c r="M28" s="6" cm="1">
        <f t="array" ref="M28">Comm_Z(M7, M26, M27, M8, M9, M6/M15)</f>
        <v>288</v>
      </c>
      <c r="N28" s="6" cm="1">
        <f t="array" ref="N28">Comm_Z(N7, N26, N27, N8, N9, N6/N15)</f>
        <v>384</v>
      </c>
      <c r="O28" s="6" cm="1">
        <f t="array" ref="O28">Comm_Z(O7, O26, O27, O8, O9, O6/O15)</f>
        <v>384</v>
      </c>
      <c r="P28" s="6" cm="1">
        <f t="array" ref="P28">Comm_Z(P7, P26, P27, P8, P9, P6/P15)</f>
        <v>384</v>
      </c>
      <c r="Q28" s="6" cm="1">
        <f t="array" ref="Q28">Comm_Z(Q7, Q26, Q27, Q8, Q9, Q6/Q15)</f>
        <v>384</v>
      </c>
      <c r="R28" s="6" cm="1">
        <f t="array" ref="R28">Comm_Z(R7, R26, R27, R8, R9, R6/R15)</f>
        <v>384</v>
      </c>
      <c r="S28" s="6" cm="1">
        <f t="array" ref="S28">Comm_Z(S7, S26, S27, S8, S9, S6/S15)</f>
        <v>352</v>
      </c>
      <c r="T28" s="6" cm="1">
        <f t="array" ref="T28">Comm_Z(T7, T26, T27, T8, T9, T6/T15)</f>
        <v>384</v>
      </c>
      <c r="U28" s="6" cm="1">
        <f t="array" ref="U28">Comm_Z(U7, U26, U27, U8, U9, U6/U15)</f>
        <v>384</v>
      </c>
      <c r="V28" s="6" cm="1">
        <f t="array" ref="V28">Comm_Z(V7, V26, V27, V8, V9, V6/V15)</f>
        <v>320</v>
      </c>
      <c r="W28" s="6" cm="1">
        <f t="array" ref="W28">Comm_Z(W7, W26, W27, W8, W9, W6/W15)</f>
        <v>384</v>
      </c>
      <c r="X28" s="6" cm="1">
        <f t="array" ref="X28">Comm_Z(X7, X26, X27, X8, X9, X6/X15)</f>
        <v>384</v>
      </c>
      <c r="Y28" s="6" cm="1">
        <f t="array" ref="Y28">Comm_Z(Y7, Y26, Y27, Y8, Y9, Y6/Y15)</f>
        <v>384</v>
      </c>
    </row>
    <row r="29" spans="2:25" x14ac:dyDescent="0.35">
      <c r="B29" s="1" t="s">
        <v>28</v>
      </c>
      <c r="D29" s="6" cm="1">
        <f t="array" ref="D29">Comm_TBS(D7, D26, D27, D8, D9, D6/D15)</f>
        <v>1147488</v>
      </c>
      <c r="E29" s="6" cm="1">
        <f t="array" ref="E29">Comm_TBS(E7, E26, E27, E8, E9, E6/E15)</f>
        <v>120936</v>
      </c>
      <c r="F29" s="6" cm="1">
        <f t="array" ref="F29">Comm_TBS(F7, F26, F27, F8, F9, F6/F15)</f>
        <v>18960</v>
      </c>
      <c r="G29" s="6" cm="1">
        <f t="array" ref="G29">Comm_TBS(G7, G26, G27, G8, G9, G6/G15)</f>
        <v>6528</v>
      </c>
      <c r="H29" s="6" cm="1">
        <f t="array" ref="H29">Comm_TBS(H7, H26, H27, H8, H9, H6/H15)</f>
        <v>241720</v>
      </c>
      <c r="I29" s="6" cm="1">
        <f t="array" ref="I29">Comm_TBS(I7, I26, I27, I8, I9, I6/I15)</f>
        <v>34816</v>
      </c>
      <c r="J29" s="6" cm="1">
        <f t="array" ref="J29">Comm_TBS(J7, J26, J27, J8, J9, J6/J15)</f>
        <v>13320</v>
      </c>
      <c r="K29" s="6" cm="1">
        <f t="array" ref="K29">Comm_TBS(K7, K26, K27, K8, K9, K6/K15)</f>
        <v>335976</v>
      </c>
      <c r="L29" s="6" cm="1">
        <f t="array" ref="L29">Comm_TBS(L7, L26, L27, L8, L9, L6/L15)</f>
        <v>50184</v>
      </c>
      <c r="M29" s="6" cm="1">
        <f t="array" ref="M29">Comm_TBS(M7, M26, M27, M8, M9, M6/M15)</f>
        <v>17424</v>
      </c>
      <c r="N29" s="6" cm="1">
        <f t="array" ref="N29">Comm_TBS(N7, N26, N27, N8, N9, N6/N15)</f>
        <v>450984</v>
      </c>
      <c r="O29" s="6" cm="1">
        <f t="array" ref="O29">Comm_TBS(O7, O26, O27, O8, O9, O6/O15)</f>
        <v>65576</v>
      </c>
      <c r="P29" s="6" cm="1">
        <f t="array" ref="P29">Comm_TBS(P7, P26, P27, P8, P9, P6/P15)</f>
        <v>24072</v>
      </c>
      <c r="Q29" s="6" cm="1">
        <f t="array" ref="Q29">Comm_TBS(Q7, Q26, Q27, Q8, Q9, Q6/Q15)</f>
        <v>540776</v>
      </c>
      <c r="R29" s="6" cm="1">
        <f t="array" ref="R29">Comm_TBS(R7, R26, R27, R8, R9, R6/R15)</f>
        <v>79896</v>
      </c>
      <c r="S29" s="6" cm="1">
        <f t="array" ref="S29">Comm_TBS(S7, S26, S27, S8, S9, S6/S15)</f>
        <v>28680</v>
      </c>
      <c r="T29" s="6" cm="1">
        <f t="array" ref="T29">Comm_TBS(T7, T26, T27, T8, T9, T6/T15)</f>
        <v>671976</v>
      </c>
      <c r="U29" s="6" cm="1">
        <f t="array" ref="U29">Comm_TBS(U7, U26, U27, U8, U9, U6/U15)</f>
        <v>96264</v>
      </c>
      <c r="V29" s="6" cm="1">
        <f t="array" ref="V29">Comm_TBS(V7, V26, V27, V8, V9, V6/V15)</f>
        <v>34816</v>
      </c>
      <c r="W29" s="6" cm="1">
        <f t="array" ref="W29">Comm_TBS(W7, W26, W27, W8, W9, W6/W15)</f>
        <v>753816</v>
      </c>
      <c r="X29" s="6" cm="1">
        <f t="array" ref="X29">Comm_TBS(X7, X26, X27, X8, X9, X6/X15)</f>
        <v>110632</v>
      </c>
      <c r="Y29" s="6" cm="1">
        <f t="array" ref="Y29">Comm_TBS(Y7, Y26, Y27, Y8, Y9, Y6/Y15)</f>
        <v>39936</v>
      </c>
    </row>
    <row r="30" spans="2:25" x14ac:dyDescent="0.35">
      <c r="B30" s="1" t="s">
        <v>29</v>
      </c>
      <c r="D30" s="6" cm="1">
        <f t="array" ref="D30">Comm_CB(D7, D26, D27, D8, D9, D6/D15)</f>
        <v>137</v>
      </c>
      <c r="E30" s="6" cm="1">
        <f t="array" ref="E30">Comm_CB(E7, E26, E27, E8, E9, E6/E15)</f>
        <v>15</v>
      </c>
      <c r="F30" s="6" cm="1">
        <f t="array" ref="F30">Comm_CB(F7, F26, F27, F8, F9, F6/F15)</f>
        <v>3</v>
      </c>
      <c r="G30" s="6" cm="1">
        <f t="array" ref="G30">Comm_CB(G7, G26, G27, G8, G9, G6/G15)</f>
        <v>1</v>
      </c>
      <c r="H30" s="6" cm="1">
        <f t="array" ref="H30">Comm_CB(H7, H26, H27, H8, H9, H6/H15)</f>
        <v>29</v>
      </c>
      <c r="I30" s="6" cm="1">
        <f t="array" ref="I30">Comm_CB(I7, I26, I27, I8, I9, I6/I15)</f>
        <v>5</v>
      </c>
      <c r="J30" s="6" cm="1">
        <f t="array" ref="J30">Comm_CB(J7, J26, J27, J8, J9, J6/J15)</f>
        <v>2</v>
      </c>
      <c r="K30" s="6" cm="1">
        <f t="array" ref="K30">Comm_CB(K7, K26, K27, K8, K9, K6/K15)</f>
        <v>40</v>
      </c>
      <c r="L30" s="6" cm="1">
        <f t="array" ref="L30">Comm_CB(L7, L26, L27, L8, L9, L6/L15)</f>
        <v>6</v>
      </c>
      <c r="M30" s="6" cm="1">
        <f t="array" ref="M30">Comm_CB(M7, M26, M27, M8, M9, M6/M15)</f>
        <v>3</v>
      </c>
      <c r="N30" s="6" cm="1">
        <f t="array" ref="N30">Comm_CB(N7, N26, N27, N8, N9, N6/N15)</f>
        <v>54</v>
      </c>
      <c r="O30" s="6" cm="1">
        <f t="array" ref="O30">Comm_CB(O7, O26, O27, O8, O9, O6/O15)</f>
        <v>8</v>
      </c>
      <c r="P30" s="6" cm="1">
        <f t="array" ref="P30">Comm_CB(P7, P26, P27, P8, P9, P6/P15)</f>
        <v>3</v>
      </c>
      <c r="Q30" s="6" cm="1">
        <f t="array" ref="Q30">Comm_CB(Q7, Q26, Q27, Q8, Q9, Q6/Q15)</f>
        <v>65</v>
      </c>
      <c r="R30" s="6" cm="1">
        <f t="array" ref="R30">Comm_CB(R7, R26, R27, R8, R9, R6/R15)</f>
        <v>10</v>
      </c>
      <c r="S30" s="6" cm="1">
        <f t="array" ref="S30">Comm_CB(S7, S26, S27, S8, S9, S6/S15)</f>
        <v>4</v>
      </c>
      <c r="T30" s="6" cm="1">
        <f t="array" ref="T30">Comm_CB(T7, T26, T27, T8, T9, T6/T15)</f>
        <v>80</v>
      </c>
      <c r="U30" s="6" cm="1">
        <f t="array" ref="U30">Comm_CB(U7, U26, U27, U8, U9, U6/U15)</f>
        <v>12</v>
      </c>
      <c r="V30" s="6" cm="1">
        <f t="array" ref="V30">Comm_CB(V7, V26, V27, V8, V9, V6/V15)</f>
        <v>5</v>
      </c>
      <c r="W30" s="6" cm="1">
        <f t="array" ref="W30">Comm_CB(W7, W26, W27, W8, W9, W6/W15)</f>
        <v>90</v>
      </c>
      <c r="X30" s="6" cm="1">
        <f t="array" ref="X30">Comm_CB(X7, X26, X27, X8, X9, X6/X15)</f>
        <v>14</v>
      </c>
      <c r="Y30" s="6" cm="1">
        <f t="array" ref="Y30">Comm_CB(Y7, Y26, Y27, Y8, Y9, Y6/Y15)</f>
        <v>5</v>
      </c>
    </row>
    <row r="31" spans="2:25" x14ac:dyDescent="0.35">
      <c r="B31" s="1" t="s">
        <v>30</v>
      </c>
      <c r="D31" s="6" cm="1">
        <f t="array" ref="D31">Comm_Parity_Nodes(D7, D26, D27, D8, D9, D6/D15)</f>
        <v>4</v>
      </c>
      <c r="E31" s="6" cm="1">
        <f t="array" ref="E31">Comm_Parity_Nodes(E7, E26, E27, E8, E9, E6/E15)</f>
        <v>7</v>
      </c>
      <c r="F31" s="6" cm="1">
        <f t="array" ref="F31">Comm_Parity_Nodes(F7, F26, F27, F8, F9, F6/F15)</f>
        <v>19</v>
      </c>
      <c r="G31" s="6" cm="1">
        <f t="array" ref="G31">Comm_Parity_Nodes(G7, G26, G27, G8, G9, G6/G15)</f>
        <v>25</v>
      </c>
      <c r="H31" s="6" cm="1">
        <f t="array" ref="H31">Comm_Parity_Nodes(H7, H26, H27, H8, H9, H6/H15)</f>
        <v>7</v>
      </c>
      <c r="I31" s="6" cm="1">
        <f t="array" ref="I31">Comm_Parity_Nodes(I7, I26, I27, I8, I9, I6/I15)</f>
        <v>20</v>
      </c>
      <c r="J31" s="6" cm="1">
        <f t="array" ref="J31">Comm_Parity_Nodes(J7, J26, J27, J8, J9, J6/J15)</f>
        <v>25</v>
      </c>
      <c r="K31" s="6" cm="1">
        <f t="array" ref="K31">Comm_Parity_Nodes(K7, K26, K27, K8, K9, K6/K15)</f>
        <v>7</v>
      </c>
      <c r="L31" s="6" cm="1">
        <f t="array" ref="L31">Comm_Parity_Nodes(L7, L26, L27, L8, L9, L6/L15)</f>
        <v>20</v>
      </c>
      <c r="M31" s="6" cm="1">
        <f t="array" ref="M31">Comm_Parity_Nodes(M7, M26, M27, M8, M9, M6/M15)</f>
        <v>25</v>
      </c>
      <c r="N31" s="6" cm="1">
        <f t="array" ref="N31">Comm_Parity_Nodes(N7, N26, N27, N8, N9, N6/N15)</f>
        <v>7</v>
      </c>
      <c r="O31" s="6" cm="1">
        <f t="array" ref="O31">Comm_Parity_Nodes(O7, O26, O27, O8, O9, O6/O15)</f>
        <v>19</v>
      </c>
      <c r="P31" s="6" cm="1">
        <f t="array" ref="P31">Comm_Parity_Nodes(P7, P26, P27, P8, P9, P6/P15)</f>
        <v>26</v>
      </c>
      <c r="Q31" s="6" cm="1">
        <f t="array" ref="Q31">Comm_Parity_Nodes(Q7, Q26, Q27, Q8, Q9, Q6/Q15)</f>
        <v>7</v>
      </c>
      <c r="R31" s="6" cm="1">
        <f t="array" ref="R31">Comm_Parity_Nodes(R7, R26, R27, R8, R9, R6/R15)</f>
        <v>19</v>
      </c>
      <c r="S31" s="6" cm="1">
        <f t="array" ref="S31">Comm_Parity_Nodes(S7, S26, S27, S8, S9, S6/S15)</f>
        <v>25</v>
      </c>
      <c r="T31" s="6" cm="1">
        <f t="array" ref="T31">Comm_Parity_Nodes(T7, T26, T27, T8, T9, T6/T15)</f>
        <v>7</v>
      </c>
      <c r="U31" s="6" cm="1">
        <f t="array" ref="U31">Comm_Parity_Nodes(U7, U26, U27, U8, U9, U6/U15)</f>
        <v>19</v>
      </c>
      <c r="V31" s="6" cm="1">
        <f t="array" ref="V31">Comm_Parity_Nodes(V7, V26, V27, V8, V9, V6/V15)</f>
        <v>27</v>
      </c>
      <c r="W31" s="6" cm="1">
        <f t="array" ref="W31">Comm_Parity_Nodes(W7, W26, W27, W8, W9, W6/W15)</f>
        <v>7</v>
      </c>
      <c r="X31" s="6" cm="1">
        <f t="array" ref="X31">Comm_Parity_Nodes(X7, X26, X27, X8, X9, X6/X15)</f>
        <v>19</v>
      </c>
      <c r="Y31" s="6" cm="1">
        <f t="array" ref="Y31">Comm_Parity_Nodes(Y7, Y26, Y27, Y8, Y9, Y6/Y15)</f>
        <v>25</v>
      </c>
    </row>
    <row r="33" spans="2:25" x14ac:dyDescent="0.35">
      <c r="B33" s="1" t="s">
        <v>102</v>
      </c>
      <c r="E33" s="6">
        <v>1</v>
      </c>
      <c r="F33" s="6">
        <v>1</v>
      </c>
      <c r="G33" s="6">
        <v>1</v>
      </c>
      <c r="H33" s="6">
        <v>2</v>
      </c>
      <c r="I33" s="6">
        <v>2</v>
      </c>
      <c r="J33" s="6">
        <v>2</v>
      </c>
      <c r="K33" s="6">
        <v>3</v>
      </c>
      <c r="L33" s="6">
        <v>3</v>
      </c>
      <c r="M33" s="6">
        <v>3</v>
      </c>
      <c r="N33" s="6">
        <v>4</v>
      </c>
      <c r="O33" s="6">
        <v>4</v>
      </c>
      <c r="P33" s="6">
        <v>4</v>
      </c>
      <c r="Q33" s="6">
        <v>5</v>
      </c>
      <c r="R33" s="6">
        <v>5</v>
      </c>
      <c r="S33" s="6">
        <v>5</v>
      </c>
      <c r="T33" s="6">
        <v>6</v>
      </c>
      <c r="U33" s="6">
        <v>6</v>
      </c>
      <c r="V33" s="6">
        <v>6</v>
      </c>
      <c r="W33" s="6">
        <v>7</v>
      </c>
      <c r="X33" s="6">
        <v>7</v>
      </c>
      <c r="Y33" s="6">
        <v>7</v>
      </c>
    </row>
    <row r="34" spans="2:25" x14ac:dyDescent="0.35">
      <c r="B34" s="1" t="s">
        <v>103</v>
      </c>
      <c r="E34" s="6">
        <v>0.3</v>
      </c>
      <c r="F34" s="6">
        <v>0.3</v>
      </c>
      <c r="G34" s="6">
        <v>0.3</v>
      </c>
      <c r="H34" s="6">
        <v>0.3</v>
      </c>
      <c r="I34" s="6">
        <v>0.3</v>
      </c>
      <c r="J34" s="6">
        <v>0.3</v>
      </c>
      <c r="K34" s="6">
        <v>0.3</v>
      </c>
      <c r="L34" s="6">
        <v>0.3</v>
      </c>
      <c r="M34" s="6">
        <v>0.3</v>
      </c>
      <c r="N34" s="6">
        <v>0.3</v>
      </c>
      <c r="O34" s="6">
        <v>0.3</v>
      </c>
      <c r="P34" s="6">
        <v>0.3</v>
      </c>
      <c r="Q34" s="6">
        <v>0.3</v>
      </c>
      <c r="R34" s="6">
        <v>0.3</v>
      </c>
      <c r="S34" s="6">
        <v>0.3</v>
      </c>
      <c r="T34" s="6">
        <v>0.3</v>
      </c>
      <c r="U34" s="6">
        <v>0.3</v>
      </c>
      <c r="V34" s="6">
        <v>0.3</v>
      </c>
      <c r="W34" s="6">
        <v>0.3</v>
      </c>
      <c r="X34" s="6">
        <v>0.3</v>
      </c>
      <c r="Y34" s="6">
        <v>0.3</v>
      </c>
    </row>
    <row r="35" spans="2:25" x14ac:dyDescent="0.35">
      <c r="B35" s="1" t="s">
        <v>104</v>
      </c>
      <c r="E35" s="6">
        <v>0.35</v>
      </c>
      <c r="F35" s="6">
        <v>0.4</v>
      </c>
      <c r="G35">
        <v>0.25</v>
      </c>
      <c r="H35" s="6">
        <v>0.35</v>
      </c>
      <c r="I35" s="6">
        <v>0.4</v>
      </c>
      <c r="J35">
        <v>0.25</v>
      </c>
      <c r="K35" s="6">
        <v>0.35</v>
      </c>
      <c r="L35" s="6">
        <v>0.4</v>
      </c>
      <c r="M35">
        <v>0.25</v>
      </c>
      <c r="N35" s="6">
        <v>0.35</v>
      </c>
      <c r="O35" s="6">
        <v>0.4</v>
      </c>
      <c r="P35">
        <v>0.25</v>
      </c>
      <c r="Q35" s="6">
        <v>0.35</v>
      </c>
      <c r="R35" s="6">
        <v>0.4</v>
      </c>
      <c r="S35">
        <v>0.25</v>
      </c>
      <c r="T35" s="6">
        <v>0.35</v>
      </c>
      <c r="U35" s="6">
        <v>0.4</v>
      </c>
      <c r="V35">
        <v>0.25</v>
      </c>
      <c r="W35" s="6">
        <v>0.35</v>
      </c>
      <c r="X35" s="6">
        <v>0.4</v>
      </c>
      <c r="Y35">
        <v>0.25</v>
      </c>
    </row>
    <row r="36" spans="2:25" x14ac:dyDescent="0.35">
      <c r="B36" s="12" t="s">
        <v>145</v>
      </c>
      <c r="D36" s="13" t="s">
        <v>123</v>
      </c>
      <c r="E36" s="13" t="s">
        <v>124</v>
      </c>
      <c r="F36" s="13" t="s">
        <v>125</v>
      </c>
      <c r="G36" s="13" t="s">
        <v>126</v>
      </c>
      <c r="H36" s="13" t="s">
        <v>127</v>
      </c>
      <c r="I36" s="13" t="s">
        <v>128</v>
      </c>
      <c r="J36" s="13" t="s">
        <v>129</v>
      </c>
      <c r="K36" s="13" t="s">
        <v>130</v>
      </c>
      <c r="L36" s="13" t="s">
        <v>131</v>
      </c>
      <c r="M36" s="13" t="s">
        <v>132</v>
      </c>
      <c r="N36" s="13" t="s">
        <v>133</v>
      </c>
      <c r="O36" s="13" t="s">
        <v>134</v>
      </c>
      <c r="P36" s="13" t="s">
        <v>135</v>
      </c>
      <c r="Q36" s="13" t="s">
        <v>136</v>
      </c>
      <c r="R36" s="13" t="s">
        <v>137</v>
      </c>
      <c r="S36" s="13" t="s">
        <v>138</v>
      </c>
      <c r="T36" s="13" t="s">
        <v>139</v>
      </c>
      <c r="U36" s="13" t="s">
        <v>140</v>
      </c>
      <c r="V36" s="13" t="s">
        <v>141</v>
      </c>
      <c r="W36" s="13" t="s">
        <v>142</v>
      </c>
      <c r="X36" s="13" t="s">
        <v>143</v>
      </c>
      <c r="Y36" s="13" t="s">
        <v>144</v>
      </c>
    </row>
    <row r="38" spans="2:25" x14ac:dyDescent="0.35">
      <c r="G38"/>
      <c r="J38"/>
      <c r="M38"/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F92E8D-40EF-4031-927C-7B228DA0D320}">
  <ds:schemaRefs>
    <ds:schemaRef ds:uri="http://schemas.openxmlformats.org/package/2006/metadata/core-properties"/>
    <ds:schemaRef ds:uri="http://schemas.microsoft.com/office/2006/metadata/properties"/>
    <ds:schemaRef ds:uri="5a78ed92-e972-479a-a8d3-ca3e1e4d7a31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9a8041e9-946d-412c-a66d-2dd6a75e84c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F01 - PDSCH</vt:lpstr>
      <vt:lpstr>F01 - PUSCH</vt:lpstr>
      <vt:lpstr>F08 - PDSCH</vt:lpstr>
      <vt:lpstr>F08 - PUSCH</vt:lpstr>
      <vt:lpstr>F09 - PDSCH</vt:lpstr>
      <vt:lpstr>F14 - PDSCH</vt:lpstr>
      <vt:lpstr>F14 - PUSCH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1.0</dc:title>
  <dc:subject/>
  <dc:creator>Tommaso Balercia</dc:creator>
  <cp:keywords/>
  <dc:description/>
  <cp:lastModifiedBy>Yongce Chen</cp:lastModifiedBy>
  <cp:revision/>
  <dcterms:created xsi:type="dcterms:W3CDTF">2020-04-01T21:44:52Z</dcterms:created>
  <dcterms:modified xsi:type="dcterms:W3CDTF">2023-07-20T23:55:23Z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