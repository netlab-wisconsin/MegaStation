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erial_sdk\cuPHY\util\perf\"/>
    </mc:Choice>
  </mc:AlternateContent>
  <xr:revisionPtr revIDLastSave="0" documentId="13_ncr:1_{12DECD75-7B11-42DF-9671-E71987A601E0}" xr6:coauthVersionLast="47" xr6:coauthVersionMax="47" xr10:uidLastSave="{00000000-0000-0000-0000-000000000000}"/>
  <bookViews>
    <workbookView xWindow="-110" yWindow="-110" windowWidth="25820" windowHeight="13900" firstSheet="3" activeTab="9" xr2:uid="{E70F5F0B-A5BA-4AD9-BF50-FA9737804343}"/>
  </bookViews>
  <sheets>
    <sheet name="V01 - PDSCH" sheetId="7" r:id="rId1"/>
    <sheet name="V01 - PUSCH" sheetId="9" r:id="rId2"/>
    <sheet name="V08 - PDSCH" sheetId="1" r:id="rId3"/>
    <sheet name="V08 - PUSCH" sheetId="10" r:id="rId4"/>
    <sheet name="U08 - PUSCH" sheetId="12" r:id="rId5"/>
    <sheet name="V15 - PDSCH" sheetId="17" r:id="rId6"/>
    <sheet name="V15 - PUSCH" sheetId="18" r:id="rId7"/>
    <sheet name="V16 - PDSCH" sheetId="19" r:id="rId8"/>
    <sheet name="V16 - PUSCH" sheetId="20" r:id="rId9"/>
    <sheet name="V09 - PDSCH" sheetId="14" r:id="rId10"/>
    <sheet name="V09 - PUSCH" sheetId="15" r:id="rId11"/>
    <sheet name="U09 - PUSCH" sheetId="16" r:id="rId12"/>
    <sheet name="V14 - PDSCH" sheetId="8" r:id="rId13"/>
    <sheet name="V14 - PUSCH" sheetId="11" r:id="rId14"/>
    <sheet name="U14 - PUSCH" sheetId="13" r:id="rId1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1" l="1"/>
  <c r="D34" i="9"/>
  <c r="D34" i="7"/>
  <c r="R34" i="16"/>
  <c r="N34" i="16"/>
  <c r="J34" i="16"/>
  <c r="F34" i="16"/>
  <c r="U7" i="16"/>
  <c r="T7" i="16"/>
  <c r="Q7" i="16"/>
  <c r="P7" i="16"/>
  <c r="M7" i="16"/>
  <c r="L7" i="16"/>
  <c r="I7" i="16"/>
  <c r="H7" i="16"/>
  <c r="U7" i="14"/>
  <c r="T7" i="14"/>
  <c r="Q7" i="14"/>
  <c r="P7" i="14"/>
  <c r="M7" i="14"/>
  <c r="L7" i="14"/>
  <c r="H7" i="14"/>
  <c r="G7" i="14"/>
  <c r="K7" i="16"/>
  <c r="J7" i="16"/>
  <c r="G7" i="16"/>
  <c r="F7" i="16"/>
  <c r="K7" i="14"/>
  <c r="J7" i="14"/>
  <c r="I7" i="14"/>
  <c r="F7" i="14"/>
  <c r="T27" i="16" a="1"/>
  <c r="T26" i="16" a="1"/>
  <c r="U27" i="16" a="1"/>
  <c r="U26" i="16" a="1"/>
  <c r="Q27" i="16" a="1"/>
  <c r="P27" i="16" a="1"/>
  <c r="P26" i="16" a="1"/>
  <c r="Q26" i="16" a="1"/>
  <c r="L27" i="16" a="1"/>
  <c r="M27" i="16" a="1"/>
  <c r="M26" i="16" a="1"/>
  <c r="L26" i="16" a="1"/>
  <c r="I27" i="16" a="1"/>
  <c r="I26" i="16" a="1"/>
  <c r="H27" i="16" a="1"/>
  <c r="H26" i="16" a="1"/>
  <c r="F26" i="16" a="1"/>
  <c r="G27" i="16" a="1"/>
  <c r="K26" i="16" a="1"/>
  <c r="K27" i="16" a="1"/>
  <c r="J27" i="16" a="1"/>
  <c r="F27" i="16" a="1"/>
  <c r="J26" i="16" a="1"/>
  <c r="G26" i="16" a="1"/>
  <c r="T27" i="14" a="1"/>
  <c r="K27" i="14" a="1"/>
  <c r="P27" i="14" a="1"/>
  <c r="Q26" i="14" a="1"/>
  <c r="K26" i="14" a="1"/>
  <c r="I27" i="14" a="1"/>
  <c r="Q27" i="14" a="1"/>
  <c r="P26" i="14" a="1"/>
  <c r="M27" i="14" a="1"/>
  <c r="L27" i="14" a="1"/>
  <c r="M26" i="14" a="1"/>
  <c r="L26" i="14" a="1"/>
  <c r="J27" i="14" a="1"/>
  <c r="F27" i="14" a="1"/>
  <c r="J26" i="14" a="1"/>
  <c r="H27" i="14" a="1"/>
  <c r="F26" i="14" a="1"/>
  <c r="H26" i="14" a="1"/>
  <c r="G27" i="14" a="1"/>
  <c r="I26" i="14" a="1"/>
  <c r="G26" i="14" a="1"/>
  <c r="U27" i="14" a="1"/>
  <c r="U26" i="14" a="1"/>
  <c r="T26" i="14" a="1"/>
  <c r="U26" i="16" l="1"/>
  <c r="U27" i="16"/>
  <c r="T26" i="16"/>
  <c r="T27" i="16"/>
  <c r="Q26" i="16"/>
  <c r="P26" i="16"/>
  <c r="P27" i="16"/>
  <c r="Q27" i="16"/>
  <c r="L26" i="16"/>
  <c r="M26" i="16"/>
  <c r="M27" i="16"/>
  <c r="L27" i="16"/>
  <c r="H26" i="16"/>
  <c r="H27" i="16"/>
  <c r="I26" i="16"/>
  <c r="I27" i="16"/>
  <c r="T27" i="14"/>
  <c r="T26" i="14"/>
  <c r="U26" i="14"/>
  <c r="U27" i="14"/>
  <c r="Q27" i="14"/>
  <c r="P26" i="14"/>
  <c r="Q26" i="14"/>
  <c r="P27" i="14"/>
  <c r="L26" i="14"/>
  <c r="M26" i="14"/>
  <c r="L27" i="14"/>
  <c r="M27" i="14"/>
  <c r="H26" i="14"/>
  <c r="H27" i="14"/>
  <c r="G26" i="14"/>
  <c r="G27" i="14"/>
  <c r="G26" i="16"/>
  <c r="J26" i="16"/>
  <c r="F27" i="16"/>
  <c r="J27" i="16"/>
  <c r="K27" i="16"/>
  <c r="K26" i="16"/>
  <c r="G27" i="16"/>
  <c r="F26" i="16"/>
  <c r="F27" i="14"/>
  <c r="F26" i="14"/>
  <c r="K27" i="14"/>
  <c r="I26" i="14"/>
  <c r="J26" i="14"/>
  <c r="K26" i="14"/>
  <c r="I27" i="14"/>
  <c r="J27" i="14"/>
  <c r="BG27" i="12" a="1"/>
  <c r="BG27" i="12"/>
  <c r="BF27" i="12" a="1"/>
  <c r="BF27" i="12"/>
  <c r="BE27" i="12" a="1"/>
  <c r="BE27" i="12"/>
  <c r="BD27" i="12" a="1"/>
  <c r="BD27" i="12"/>
  <c r="BC27" i="12" a="1"/>
  <c r="BC27" i="12"/>
  <c r="BB27" i="12" a="1"/>
  <c r="BB27" i="12"/>
  <c r="BA27" i="12" a="1"/>
  <c r="BA27" i="12"/>
  <c r="AZ27" i="12" a="1"/>
  <c r="AZ27" i="12"/>
  <c r="AY27" i="12" a="1"/>
  <c r="AY27" i="12"/>
  <c r="AX27" i="12" a="1"/>
  <c r="AX27" i="12"/>
  <c r="AW27" i="12" a="1"/>
  <c r="AW27" i="12"/>
  <c r="AV27" i="12" a="1"/>
  <c r="AV27" i="12"/>
  <c r="BG26" i="12" a="1"/>
  <c r="BG26" i="12"/>
  <c r="BG31" i="12" a="1"/>
  <c r="BG30" i="12" a="1"/>
  <c r="BG29" i="12" a="1"/>
  <c r="BG28" i="12" a="1"/>
  <c r="BF26" i="12" a="1"/>
  <c r="U28" i="16" a="1"/>
  <c r="U29" i="16" a="1"/>
  <c r="U30" i="16" a="1"/>
  <c r="U31" i="16" a="1"/>
  <c r="T29" i="16" a="1"/>
  <c r="T30" i="16" a="1"/>
  <c r="T31" i="16" a="1"/>
  <c r="T28" i="16" a="1"/>
  <c r="P28" i="16" a="1"/>
  <c r="P31" i="16" a="1"/>
  <c r="P29" i="16" a="1"/>
  <c r="P30" i="16" a="1"/>
  <c r="Q28" i="16" a="1"/>
  <c r="Q29" i="16" a="1"/>
  <c r="Q30" i="16" a="1"/>
  <c r="Q31" i="16" a="1"/>
  <c r="M28" i="16" a="1"/>
  <c r="M29" i="16" a="1"/>
  <c r="M30" i="16" a="1"/>
  <c r="M31" i="16" a="1"/>
  <c r="L28" i="16" a="1"/>
  <c r="L29" i="16" a="1"/>
  <c r="L30" i="16" a="1"/>
  <c r="L31" i="16" a="1"/>
  <c r="I28" i="16" a="1"/>
  <c r="I30" i="16" a="1"/>
  <c r="I29" i="16" a="1"/>
  <c r="I31" i="16" a="1"/>
  <c r="H31" i="16" a="1"/>
  <c r="H28" i="16" a="1"/>
  <c r="H29" i="16" a="1"/>
  <c r="H30" i="16" a="1"/>
  <c r="J29" i="16" a="1"/>
  <c r="F31" i="16" a="1"/>
  <c r="F30" i="16" a="1"/>
  <c r="K30" i="16" a="1"/>
  <c r="K31" i="16" a="1"/>
  <c r="G29" i="16" a="1"/>
  <c r="J31" i="16" a="1"/>
  <c r="F29" i="16" a="1"/>
  <c r="F28" i="16" a="1"/>
  <c r="K29" i="16" a="1"/>
  <c r="K28" i="16" a="1"/>
  <c r="G28" i="16" a="1"/>
  <c r="G31" i="16" a="1"/>
  <c r="J28" i="16" a="1"/>
  <c r="G30" i="16" a="1"/>
  <c r="J30" i="16" a="1"/>
  <c r="U30" i="14" a="1"/>
  <c r="L31" i="14" a="1"/>
  <c r="F28" i="14" a="1"/>
  <c r="K30" i="14" a="1"/>
  <c r="U29" i="14" a="1"/>
  <c r="L30" i="14" a="1"/>
  <c r="K29" i="14" a="1"/>
  <c r="U31" i="14" a="1"/>
  <c r="L28" i="14" a="1"/>
  <c r="T31" i="14" a="1"/>
  <c r="M30" i="14" a="1"/>
  <c r="I28" i="14" a="1"/>
  <c r="K28" i="14" a="1"/>
  <c r="H28" i="14" a="1"/>
  <c r="P31" i="14" a="1"/>
  <c r="H31" i="14" a="1"/>
  <c r="J28" i="14" a="1"/>
  <c r="G29" i="14" a="1"/>
  <c r="G30" i="14" a="1"/>
  <c r="F29" i="14" a="1"/>
  <c r="F31" i="14" a="1"/>
  <c r="T30" i="14" a="1"/>
  <c r="T29" i="14" a="1"/>
  <c r="M28" i="14" a="1"/>
  <c r="F30" i="14" a="1"/>
  <c r="H30" i="14" a="1"/>
  <c r="P30" i="14" a="1"/>
  <c r="H29" i="14" a="1"/>
  <c r="P28" i="14" a="1"/>
  <c r="G28" i="14" a="1"/>
  <c r="Q30" i="14" a="1"/>
  <c r="J31" i="14" a="1"/>
  <c r="G31" i="14" a="1"/>
  <c r="M29" i="14" a="1"/>
  <c r="T28" i="14" a="1"/>
  <c r="M31" i="14" a="1"/>
  <c r="I29" i="14" a="1"/>
  <c r="I31" i="14" a="1"/>
  <c r="J29" i="14" a="1"/>
  <c r="Q28" i="14" a="1"/>
  <c r="I30" i="14" a="1"/>
  <c r="Q29" i="14" a="1"/>
  <c r="L29" i="14" a="1"/>
  <c r="P29" i="14" a="1"/>
  <c r="U28" i="14" a="1"/>
  <c r="J30" i="14" a="1"/>
  <c r="Q31" i="14" a="1"/>
  <c r="K31" i="14" a="1"/>
  <c r="T28" i="16" l="1"/>
  <c r="T31" i="16"/>
  <c r="T30" i="16"/>
  <c r="T29" i="16"/>
  <c r="U31" i="16"/>
  <c r="U30" i="16"/>
  <c r="U29" i="16"/>
  <c r="U28" i="16"/>
  <c r="Q31" i="16"/>
  <c r="Q30" i="16"/>
  <c r="Q29" i="16"/>
  <c r="Q28" i="16"/>
  <c r="P30" i="16"/>
  <c r="P29" i="16"/>
  <c r="P31" i="16"/>
  <c r="P28" i="16"/>
  <c r="L31" i="16"/>
  <c r="L30" i="16"/>
  <c r="L29" i="16"/>
  <c r="L28" i="16"/>
  <c r="M31" i="16"/>
  <c r="M30" i="16"/>
  <c r="M29" i="16"/>
  <c r="M28" i="16"/>
  <c r="H30" i="16"/>
  <c r="H29" i="16"/>
  <c r="H28" i="16"/>
  <c r="H31" i="16"/>
  <c r="I31" i="16"/>
  <c r="I29" i="16"/>
  <c r="I30" i="16"/>
  <c r="I28" i="16"/>
  <c r="T28" i="14"/>
  <c r="T29" i="14"/>
  <c r="T31" i="14"/>
  <c r="T30" i="14"/>
  <c r="U31" i="14"/>
  <c r="U29" i="14"/>
  <c r="U30" i="14"/>
  <c r="U28" i="14"/>
  <c r="Q29" i="14"/>
  <c r="Q31" i="14"/>
  <c r="Q30" i="14"/>
  <c r="Q28" i="14"/>
  <c r="P28" i="14"/>
  <c r="P31" i="14"/>
  <c r="P30" i="14"/>
  <c r="P29" i="14"/>
  <c r="M31" i="14"/>
  <c r="M28" i="14"/>
  <c r="M30" i="14"/>
  <c r="M29" i="14"/>
  <c r="L28" i="14"/>
  <c r="L30" i="14"/>
  <c r="L31" i="14"/>
  <c r="L29" i="14"/>
  <c r="H31" i="14"/>
  <c r="H29" i="14"/>
  <c r="H28" i="14"/>
  <c r="H30" i="14"/>
  <c r="G31" i="14"/>
  <c r="G30" i="14"/>
  <c r="G29" i="14"/>
  <c r="G28" i="14"/>
  <c r="G31" i="16"/>
  <c r="G28" i="16"/>
  <c r="G29" i="16"/>
  <c r="G30" i="16"/>
  <c r="K31" i="16"/>
  <c r="K28" i="16"/>
  <c r="K29" i="16"/>
  <c r="K30" i="16"/>
  <c r="F30" i="16"/>
  <c r="F28" i="16"/>
  <c r="F31" i="16"/>
  <c r="F29" i="16"/>
  <c r="J28" i="16"/>
  <c r="J31" i="16"/>
  <c r="J29" i="16"/>
  <c r="J30" i="16"/>
  <c r="J31" i="14"/>
  <c r="J29" i="14"/>
  <c r="J30" i="14"/>
  <c r="J28" i="14"/>
  <c r="I30" i="14"/>
  <c r="I31" i="14"/>
  <c r="I29" i="14"/>
  <c r="I28" i="14"/>
  <c r="K31" i="14"/>
  <c r="K30" i="14"/>
  <c r="K29" i="14"/>
  <c r="K28" i="14"/>
  <c r="F30" i="14"/>
  <c r="F28" i="14"/>
  <c r="F31" i="14"/>
  <c r="F29" i="14"/>
  <c r="F34" i="14" s="1"/>
  <c r="BG28" i="12"/>
  <c r="BG29" i="12"/>
  <c r="BG30" i="12"/>
  <c r="BG31" i="12"/>
  <c r="BF26" i="12"/>
  <c r="BF31" i="12" a="1"/>
  <c r="BF30" i="12" a="1"/>
  <c r="BF29" i="12" a="1"/>
  <c r="BF28" i="12" a="1"/>
  <c r="BE26" i="12" a="1"/>
  <c r="J34" i="14" l="1"/>
  <c r="BF28" i="12"/>
  <c r="BF29" i="12"/>
  <c r="BF30" i="12"/>
  <c r="BF31" i="12"/>
  <c r="BE26" i="12"/>
  <c r="BE31" i="12" a="1"/>
  <c r="BE30" i="12" a="1"/>
  <c r="BE29" i="12" a="1"/>
  <c r="BE28" i="12" a="1"/>
  <c r="BD26" i="12" a="1"/>
  <c r="BE28" i="12" l="1"/>
  <c r="BE29" i="12"/>
  <c r="BE30" i="12"/>
  <c r="BE31" i="12"/>
  <c r="BD26" i="12"/>
  <c r="BD31" i="12" a="1"/>
  <c r="BD30" i="12" a="1"/>
  <c r="BD29" i="12" a="1"/>
  <c r="BD28" i="12" a="1"/>
  <c r="BC26" i="12" a="1"/>
  <c r="BD28" i="12" l="1"/>
  <c r="BD29" i="12"/>
  <c r="BD30" i="12"/>
  <c r="BD31" i="12"/>
  <c r="BC26" i="12"/>
  <c r="BC31" i="12" a="1"/>
  <c r="BC30" i="12" a="1"/>
  <c r="BC29" i="12" a="1"/>
  <c r="BC28" i="12" a="1"/>
  <c r="BB26" i="12" a="1"/>
  <c r="BC28" i="12" l="1"/>
  <c r="BC29" i="12"/>
  <c r="BC30" i="12"/>
  <c r="BC31" i="12"/>
  <c r="BB26" i="12"/>
  <c r="BB31" i="12" a="1"/>
  <c r="BB30" i="12" a="1"/>
  <c r="BB29" i="12" a="1"/>
  <c r="BB28" i="12" a="1"/>
  <c r="BA26" i="12" a="1"/>
  <c r="BB28" i="12" l="1"/>
  <c r="BB29" i="12"/>
  <c r="BB34" i="12" s="1"/>
  <c r="BB30" i="12"/>
  <c r="BB31" i="12"/>
  <c r="BA26" i="12"/>
  <c r="BA31" i="12" a="1"/>
  <c r="BA30" i="12" a="1"/>
  <c r="BA29" i="12" a="1"/>
  <c r="BA28" i="12" a="1"/>
  <c r="AZ26" i="12" a="1"/>
  <c r="BA28" i="12" l="1"/>
  <c r="BA29" i="12"/>
  <c r="BA30" i="12"/>
  <c r="BA31" i="12"/>
  <c r="AZ26" i="12"/>
  <c r="AZ31" i="12" a="1"/>
  <c r="AZ30" i="12" a="1"/>
  <c r="AZ29" i="12" a="1"/>
  <c r="AZ28" i="12" a="1"/>
  <c r="AY26" i="12" a="1"/>
  <c r="AZ28" i="12" l="1"/>
  <c r="AZ29" i="12"/>
  <c r="AZ30" i="12"/>
  <c r="AZ31" i="12"/>
  <c r="AY26" i="12"/>
  <c r="AY31" i="12" a="1"/>
  <c r="AY30" i="12" a="1"/>
  <c r="AY29" i="12" a="1"/>
  <c r="AY28" i="12" a="1"/>
  <c r="AX26" i="12" a="1"/>
  <c r="AY28" i="12" l="1"/>
  <c r="AY29" i="12"/>
  <c r="AY30" i="12"/>
  <c r="AY31" i="12"/>
  <c r="AX26" i="12"/>
  <c r="AX31" i="12" a="1"/>
  <c r="AX30" i="12" a="1"/>
  <c r="AX29" i="12" a="1"/>
  <c r="AX28" i="12" a="1"/>
  <c r="AW26" i="12" a="1"/>
  <c r="AX28" i="12" l="1"/>
  <c r="AX29" i="12"/>
  <c r="AX30" i="12"/>
  <c r="AX31" i="12"/>
  <c r="AW26" i="12"/>
  <c r="AW31" i="12" a="1"/>
  <c r="AW30" i="12" a="1"/>
  <c r="AW29" i="12" a="1"/>
  <c r="AW28" i="12" a="1"/>
  <c r="AV26" i="12" a="1"/>
  <c r="AW28" i="12" l="1"/>
  <c r="AW29" i="12"/>
  <c r="AW30" i="12"/>
  <c r="AW31" i="12"/>
  <c r="AV26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BF34" i="1"/>
  <c r="S7" i="16"/>
  <c r="R7" i="16"/>
  <c r="O7" i="16"/>
  <c r="N7" i="16"/>
  <c r="S7" i="14"/>
  <c r="R7" i="14"/>
  <c r="O7" i="14"/>
  <c r="N7" i="14"/>
  <c r="BQ7" i="1"/>
  <c r="BP7" i="1"/>
  <c r="BO7" i="1"/>
  <c r="BN7" i="1"/>
  <c r="BM7" i="1"/>
  <c r="BL7" i="1"/>
  <c r="BK7" i="1"/>
  <c r="BJ7" i="1"/>
  <c r="BI7" i="1"/>
  <c r="BH7" i="1"/>
  <c r="BG7" i="1"/>
  <c r="BF7" i="1"/>
  <c r="AM7" i="13"/>
  <c r="AL7" i="13"/>
  <c r="AK7" i="13"/>
  <c r="AJ7" i="13"/>
  <c r="AW7" i="8"/>
  <c r="AV7" i="8"/>
  <c r="AU7" i="8"/>
  <c r="AT7" i="8"/>
  <c r="AJ26" i="13" a="1"/>
  <c r="AJ27" i="13" a="1"/>
  <c r="AM27" i="13" a="1"/>
  <c r="AL27" i="13" a="1"/>
  <c r="AK27" i="13" a="1"/>
  <c r="AM26" i="13" a="1"/>
  <c r="AL26" i="13" a="1"/>
  <c r="AK26" i="13" a="1"/>
  <c r="AT26" i="8" a="1"/>
  <c r="AU27" i="8" a="1"/>
  <c r="AU26" i="8" a="1"/>
  <c r="AW27" i="8" a="1"/>
  <c r="AV27" i="8" a="1"/>
  <c r="AT27" i="8" a="1"/>
  <c r="AV26" i="8" a="1"/>
  <c r="AW26" i="8" a="1"/>
  <c r="AV31" i="12" a="1"/>
  <c r="AV30" i="12" a="1"/>
  <c r="AV29" i="12" a="1"/>
  <c r="AV28" i="12" a="1"/>
  <c r="BQ27" i="1" a="1"/>
  <c r="BI27" i="1" a="1"/>
  <c r="BM26" i="1" a="1"/>
  <c r="BO27" i="1" a="1"/>
  <c r="BG27" i="1" a="1"/>
  <c r="BK26" i="1" a="1"/>
  <c r="BF27" i="1" a="1"/>
  <c r="BN26" i="1" a="1"/>
  <c r="BH27" i="1" a="1"/>
  <c r="BN27" i="1" a="1"/>
  <c r="BJ26" i="1" a="1"/>
  <c r="BF26" i="1" a="1"/>
  <c r="BM27" i="1" a="1"/>
  <c r="BQ26" i="1" a="1"/>
  <c r="BI26" i="1" a="1"/>
  <c r="BP27" i="1" a="1"/>
  <c r="BP26" i="1" a="1"/>
  <c r="BL27" i="1" a="1"/>
  <c r="BH26" i="1" a="1"/>
  <c r="BL26" i="1" a="1"/>
  <c r="BK27" i="1" a="1"/>
  <c r="BO26" i="1" a="1"/>
  <c r="BG26" i="1" a="1"/>
  <c r="BJ27" i="1" a="1"/>
  <c r="O26" i="16" a="1"/>
  <c r="S26" i="16" a="1"/>
  <c r="N27" i="16" a="1"/>
  <c r="N26" i="16" a="1"/>
  <c r="R26" i="16" a="1"/>
  <c r="R27" i="16" a="1"/>
  <c r="O27" i="16" a="1"/>
  <c r="S27" i="16" a="1"/>
  <c r="O26" i="14" a="1"/>
  <c r="O27" i="14" a="1"/>
  <c r="R26" i="14" a="1"/>
  <c r="N26" i="14" a="1"/>
  <c r="N27" i="14" a="1"/>
  <c r="S26" i="14" a="1"/>
  <c r="S27" i="14" a="1"/>
  <c r="R27" i="14" a="1"/>
  <c r="AV28" i="12" l="1"/>
  <c r="AV29" i="12"/>
  <c r="AV34" i="12" s="1"/>
  <c r="AV30" i="12"/>
  <c r="AV31" i="12"/>
  <c r="S26" i="16"/>
  <c r="S27" i="16"/>
  <c r="R27" i="16"/>
  <c r="R26" i="16"/>
  <c r="O27" i="16"/>
  <c r="O26" i="16"/>
  <c r="N27" i="16"/>
  <c r="N26" i="16"/>
  <c r="S26" i="14"/>
  <c r="R26" i="14"/>
  <c r="S27" i="14"/>
  <c r="R27" i="14"/>
  <c r="O27" i="14"/>
  <c r="O26" i="14"/>
  <c r="N27" i="14"/>
  <c r="N26" i="14"/>
  <c r="BJ27" i="1"/>
  <c r="BG26" i="1"/>
  <c r="BO26" i="1"/>
  <c r="BK27" i="1"/>
  <c r="BL26" i="1"/>
  <c r="BH26" i="1"/>
  <c r="BL27" i="1"/>
  <c r="BP26" i="1"/>
  <c r="BP27" i="1"/>
  <c r="BI26" i="1"/>
  <c r="BQ26" i="1"/>
  <c r="BM27" i="1"/>
  <c r="BF26" i="1"/>
  <c r="BJ26" i="1"/>
  <c r="BN27" i="1"/>
  <c r="BH27" i="1"/>
  <c r="BN26" i="1"/>
  <c r="BF27" i="1"/>
  <c r="BK26" i="1"/>
  <c r="BG27" i="1"/>
  <c r="BO27" i="1"/>
  <c r="BM26" i="1"/>
  <c r="BI27" i="1"/>
  <c r="BQ27" i="1"/>
  <c r="AK26" i="13"/>
  <c r="AL26" i="13"/>
  <c r="AM26" i="13"/>
  <c r="AK27" i="13"/>
  <c r="AL27" i="13"/>
  <c r="AM27" i="13"/>
  <c r="AJ27" i="13"/>
  <c r="AJ26" i="13"/>
  <c r="AW26" i="8"/>
  <c r="AV26" i="8"/>
  <c r="AT27" i="8"/>
  <c r="AV27" i="8"/>
  <c r="AW27" i="8"/>
  <c r="AU26" i="8"/>
  <c r="AU27" i="8"/>
  <c r="AT26" i="8"/>
  <c r="AK29" i="13" a="1"/>
  <c r="AK31" i="13" a="1"/>
  <c r="AK28" i="13" a="1"/>
  <c r="AK30" i="13" a="1"/>
  <c r="AL28" i="13" a="1"/>
  <c r="AL29" i="13" a="1"/>
  <c r="AL31" i="13" a="1"/>
  <c r="AL30" i="13" a="1"/>
  <c r="AM28" i="13" a="1"/>
  <c r="AM30" i="13" a="1"/>
  <c r="AM29" i="13" a="1"/>
  <c r="AM31" i="13" a="1"/>
  <c r="AJ31" i="13" a="1"/>
  <c r="AJ29" i="13" a="1"/>
  <c r="AJ28" i="13" a="1"/>
  <c r="AJ30" i="13" a="1"/>
  <c r="AT29" i="8" a="1"/>
  <c r="AT31" i="8" a="1"/>
  <c r="AT28" i="8" a="1"/>
  <c r="AT30" i="8" a="1"/>
  <c r="AV30" i="8" a="1"/>
  <c r="AV29" i="8" a="1"/>
  <c r="AV31" i="8" a="1"/>
  <c r="AV28" i="8" a="1"/>
  <c r="AW28" i="8" a="1"/>
  <c r="AW30" i="8" a="1"/>
  <c r="AW29" i="8" a="1"/>
  <c r="AW31" i="8" a="1"/>
  <c r="AU28" i="8" a="1"/>
  <c r="AU30" i="8" a="1"/>
  <c r="AU31" i="8" a="1"/>
  <c r="AU29" i="8" a="1"/>
  <c r="BJ29" i="1" a="1"/>
  <c r="BJ28" i="1" a="1"/>
  <c r="BJ30" i="1" a="1"/>
  <c r="BJ31" i="1" a="1"/>
  <c r="BI28" i="1" a="1"/>
  <c r="BI30" i="1" a="1"/>
  <c r="BI29" i="1" a="1"/>
  <c r="BI31" i="1" a="1"/>
  <c r="BM29" i="1" a="1"/>
  <c r="BM31" i="1" a="1"/>
  <c r="BM28" i="1" a="1"/>
  <c r="BM30" i="1" a="1"/>
  <c r="BH29" i="1" a="1"/>
  <c r="BH28" i="1" a="1"/>
  <c r="BH30" i="1" a="1"/>
  <c r="BH31" i="1" a="1"/>
  <c r="BF30" i="1" a="1"/>
  <c r="BF29" i="1" a="1"/>
  <c r="BF31" i="1" a="1"/>
  <c r="BF28" i="1" a="1"/>
  <c r="BK29" i="1" a="1"/>
  <c r="BK31" i="1" a="1"/>
  <c r="BK28" i="1" a="1"/>
  <c r="BK30" i="1" a="1"/>
  <c r="BG28" i="1" a="1"/>
  <c r="BG30" i="1" a="1"/>
  <c r="BG29" i="1" a="1"/>
  <c r="BG31" i="1" a="1"/>
  <c r="BO28" i="1" a="1"/>
  <c r="BO30" i="1" a="1"/>
  <c r="BO29" i="1" a="1"/>
  <c r="BO31" i="1" a="1"/>
  <c r="BL31" i="1" a="1"/>
  <c r="BL29" i="1" a="1"/>
  <c r="BL28" i="1" a="1"/>
  <c r="BL30" i="1" a="1"/>
  <c r="BQ28" i="1" a="1"/>
  <c r="BQ30" i="1" a="1"/>
  <c r="BQ31" i="1" a="1"/>
  <c r="BQ29" i="1" a="1"/>
  <c r="BP28" i="1" a="1"/>
  <c r="BP30" i="1" a="1"/>
  <c r="BP29" i="1" a="1"/>
  <c r="BP31" i="1" a="1"/>
  <c r="BN28" i="1" a="1"/>
  <c r="BN29" i="1" a="1"/>
  <c r="BN31" i="1" a="1"/>
  <c r="BN30" i="1" a="1"/>
  <c r="O28" i="16" a="1"/>
  <c r="N31" i="16" a="1"/>
  <c r="S31" i="16" a="1"/>
  <c r="O29" i="16" a="1"/>
  <c r="N30" i="16" a="1"/>
  <c r="S28" i="16" a="1"/>
  <c r="R30" i="16" a="1"/>
  <c r="O30" i="16" a="1"/>
  <c r="N29" i="16" a="1"/>
  <c r="S30" i="16" a="1"/>
  <c r="N28" i="16" a="1"/>
  <c r="R28" i="16" a="1"/>
  <c r="R29" i="16" a="1"/>
  <c r="R31" i="16" a="1"/>
  <c r="O31" i="16" a="1"/>
  <c r="S29" i="16" a="1"/>
  <c r="S29" i="14" a="1"/>
  <c r="N31" i="14" a="1"/>
  <c r="S31" i="14" a="1"/>
  <c r="O28" i="14" a="1"/>
  <c r="O29" i="14" a="1"/>
  <c r="N29" i="14" a="1"/>
  <c r="R31" i="14" a="1"/>
  <c r="R30" i="14" a="1"/>
  <c r="R28" i="14" a="1"/>
  <c r="S28" i="14" a="1"/>
  <c r="N30" i="14" a="1"/>
  <c r="S30" i="14" a="1"/>
  <c r="O30" i="14" a="1"/>
  <c r="N28" i="14" a="1"/>
  <c r="R29" i="14" a="1"/>
  <c r="O31" i="14" a="1"/>
  <c r="S31" i="16" l="1"/>
  <c r="S28" i="16"/>
  <c r="S29" i="16"/>
  <c r="S30" i="16"/>
  <c r="R31" i="16"/>
  <c r="R30" i="16"/>
  <c r="R29" i="16"/>
  <c r="R28" i="16"/>
  <c r="O31" i="16"/>
  <c r="O30" i="16"/>
  <c r="O29" i="16"/>
  <c r="O28" i="16"/>
  <c r="N31" i="16"/>
  <c r="N30" i="16"/>
  <c r="N29" i="16"/>
  <c r="N28" i="16"/>
  <c r="R28" i="14"/>
  <c r="R30" i="14"/>
  <c r="R29" i="14"/>
  <c r="R34" i="14" s="1"/>
  <c r="R31" i="14"/>
  <c r="S31" i="14"/>
  <c r="S30" i="14"/>
  <c r="S29" i="14"/>
  <c r="S28" i="14"/>
  <c r="O28" i="14"/>
  <c r="O29" i="14"/>
  <c r="O30" i="14"/>
  <c r="O31" i="14"/>
  <c r="N29" i="14"/>
  <c r="N34" i="14" s="1"/>
  <c r="N31" i="14"/>
  <c r="N30" i="14"/>
  <c r="N28" i="14"/>
  <c r="BN30" i="1"/>
  <c r="BN31" i="1"/>
  <c r="BN29" i="1"/>
  <c r="BN28" i="1"/>
  <c r="BP31" i="1"/>
  <c r="BP29" i="1"/>
  <c r="BP30" i="1"/>
  <c r="BP28" i="1"/>
  <c r="BQ29" i="1"/>
  <c r="BQ31" i="1"/>
  <c r="BQ30" i="1"/>
  <c r="BQ28" i="1"/>
  <c r="BL30" i="1"/>
  <c r="BL28" i="1"/>
  <c r="BL29" i="1"/>
  <c r="BL34" i="1" s="1"/>
  <c r="BL31" i="1"/>
  <c r="BO31" i="1"/>
  <c r="BO29" i="1"/>
  <c r="BO30" i="1"/>
  <c r="BO28" i="1"/>
  <c r="BG31" i="1"/>
  <c r="BG29" i="1"/>
  <c r="BG30" i="1"/>
  <c r="BG28" i="1"/>
  <c r="BK30" i="1"/>
  <c r="BK28" i="1"/>
  <c r="BK31" i="1"/>
  <c r="BK29" i="1"/>
  <c r="BF28" i="1"/>
  <c r="BF31" i="1"/>
  <c r="BF29" i="1"/>
  <c r="BF30" i="1"/>
  <c r="BH31" i="1"/>
  <c r="BH30" i="1"/>
  <c r="BH28" i="1"/>
  <c r="BH29" i="1"/>
  <c r="BM30" i="1"/>
  <c r="BM28" i="1"/>
  <c r="BM31" i="1"/>
  <c r="BM29" i="1"/>
  <c r="BI31" i="1"/>
  <c r="BI29" i="1"/>
  <c r="BI30" i="1"/>
  <c r="BI28" i="1"/>
  <c r="BJ31" i="1"/>
  <c r="BJ30" i="1"/>
  <c r="BJ28" i="1"/>
  <c r="BJ29" i="1"/>
  <c r="AJ30" i="13"/>
  <c r="AJ28" i="13"/>
  <c r="AJ29" i="13"/>
  <c r="AJ31" i="13"/>
  <c r="AM31" i="13"/>
  <c r="AM29" i="13"/>
  <c r="AM30" i="13"/>
  <c r="AM28" i="13"/>
  <c r="AL30" i="13"/>
  <c r="AL31" i="13"/>
  <c r="AL29" i="13"/>
  <c r="AL34" i="13" s="1"/>
  <c r="AL28" i="13"/>
  <c r="AK30" i="13"/>
  <c r="AK28" i="13"/>
  <c r="AK31" i="13"/>
  <c r="AK29" i="13"/>
  <c r="AU29" i="8"/>
  <c r="AU31" i="8"/>
  <c r="AU30" i="8"/>
  <c r="AU28" i="8"/>
  <c r="AW31" i="8"/>
  <c r="AW29" i="8"/>
  <c r="AW30" i="8"/>
  <c r="AW28" i="8"/>
  <c r="AV28" i="8"/>
  <c r="AV31" i="8"/>
  <c r="AV29" i="8"/>
  <c r="AV34" i="8" s="1"/>
  <c r="AV30" i="8"/>
  <c r="AT30" i="8"/>
  <c r="AT28" i="8"/>
  <c r="AT31" i="8"/>
  <c r="AT29" i="8"/>
  <c r="AT34" i="8" s="1"/>
  <c r="AJ34" i="13" l="1"/>
  <c r="AI7" i="13" l="1"/>
  <c r="AH7" i="13"/>
  <c r="AG7" i="13"/>
  <c r="AF7" i="13"/>
  <c r="AS7" i="8"/>
  <c r="AR7" i="8"/>
  <c r="AQ7" i="8"/>
  <c r="AP7" i="8"/>
  <c r="BQ7" i="18"/>
  <c r="BP7" i="18"/>
  <c r="BO7" i="18"/>
  <c r="BN7" i="18"/>
  <c r="BM7" i="18"/>
  <c r="BL7" i="18"/>
  <c r="BK7" i="18"/>
  <c r="BJ7" i="18"/>
  <c r="BI7" i="18"/>
  <c r="BH7" i="18"/>
  <c r="BG7" i="18"/>
  <c r="BF7" i="18"/>
  <c r="BE7" i="18"/>
  <c r="BD7" i="18"/>
  <c r="BC7" i="18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AM7" i="17"/>
  <c r="AL7" i="17"/>
  <c r="AK7" i="17"/>
  <c r="AJ7" i="17"/>
  <c r="AI7" i="17"/>
  <c r="AH7" i="17"/>
  <c r="AG7" i="17"/>
  <c r="AF7" i="17"/>
  <c r="AE7" i="17"/>
  <c r="AD7" i="17"/>
  <c r="AC7" i="17"/>
  <c r="AB7" i="17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BE7" i="20"/>
  <c r="BD7" i="20"/>
  <c r="BC7" i="20"/>
  <c r="BB7" i="20"/>
  <c r="BA7" i="20"/>
  <c r="AV7" i="20"/>
  <c r="AZ7" i="20"/>
  <c r="AY7" i="20"/>
  <c r="AX7" i="20"/>
  <c r="AW7" i="20"/>
  <c r="AU7" i="20"/>
  <c r="AT7" i="20"/>
  <c r="AS7" i="20"/>
  <c r="AR7" i="20"/>
  <c r="AQ7" i="20"/>
  <c r="AP7" i="20"/>
  <c r="AO7" i="20"/>
  <c r="AN7" i="20"/>
  <c r="AM7" i="20"/>
  <c r="AL7" i="20"/>
  <c r="AK7" i="20"/>
  <c r="AJ7" i="20"/>
  <c r="AI7" i="20"/>
  <c r="AH7" i="20"/>
  <c r="AG7" i="20"/>
  <c r="AF7" i="20"/>
  <c r="AE7" i="20"/>
  <c r="AD7" i="20"/>
  <c r="AC7" i="20"/>
  <c r="AB7" i="20"/>
  <c r="AA7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E7" i="20"/>
  <c r="D7" i="20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AA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Z26" i="17" a="1"/>
  <c r="V27" i="17" a="1"/>
  <c r="AA27" i="17" a="1"/>
  <c r="Y26" i="17" a="1"/>
  <c r="X26" i="17" a="1"/>
  <c r="Z27" i="17" a="1"/>
  <c r="Y27" i="17" a="1"/>
  <c r="W26" i="17" a="1"/>
  <c r="X27" i="17" a="1"/>
  <c r="W27" i="17" a="1"/>
  <c r="AA26" i="17" a="1"/>
  <c r="V26" i="17" a="1"/>
  <c r="T26" i="17" a="1"/>
  <c r="S26" i="17" a="1"/>
  <c r="S27" i="17" a="1"/>
  <c r="Q27" i="17" a="1"/>
  <c r="U27" i="17" a="1"/>
  <c r="R26" i="17" a="1"/>
  <c r="P27" i="17" a="1"/>
  <c r="T27" i="17" a="1"/>
  <c r="Q26" i="17" a="1"/>
  <c r="U26" i="17" a="1"/>
  <c r="P26" i="17" a="1"/>
  <c r="R27" i="17" a="1"/>
  <c r="O27" i="17" a="1"/>
  <c r="M26" i="17" a="1"/>
  <c r="N27" i="17" a="1"/>
  <c r="L26" i="17" a="1"/>
  <c r="K26" i="17" a="1"/>
  <c r="L27" i="17" a="1"/>
  <c r="J26" i="17" a="1"/>
  <c r="K27" i="17" a="1"/>
  <c r="M27" i="17" a="1"/>
  <c r="J27" i="17" a="1"/>
  <c r="N26" i="17" a="1"/>
  <c r="O26" i="17" a="1"/>
  <c r="BM26" i="18" a="1"/>
  <c r="BN27" i="18" a="1"/>
  <c r="BL26" i="18" a="1"/>
  <c r="BK27" i="18" a="1"/>
  <c r="BC27" i="18" a="1"/>
  <c r="BQ26" i="18" a="1"/>
  <c r="BI26" i="18" a="1"/>
  <c r="BA26" i="18" a="1"/>
  <c r="BG27" i="18" a="1"/>
  <c r="BJ27" i="18" a="1"/>
  <c r="BB27" i="18" a="1"/>
  <c r="BP26" i="18" a="1"/>
  <c r="BH26" i="18" a="1"/>
  <c r="AZ26" i="18" a="1"/>
  <c r="BO27" i="18" a="1"/>
  <c r="AW26" i="18" a="1"/>
  <c r="BK26" i="18" a="1"/>
  <c r="BE27" i="18" a="1"/>
  <c r="BQ27" i="18" a="1"/>
  <c r="BI27" i="18" a="1"/>
  <c r="BA27" i="18" a="1"/>
  <c r="BO26" i="18" a="1"/>
  <c r="BG26" i="18" a="1"/>
  <c r="AY26" i="18" a="1"/>
  <c r="BF27" i="18" a="1"/>
  <c r="BD26" i="18" a="1"/>
  <c r="AY27" i="18" a="1"/>
  <c r="AV26" i="18" a="1"/>
  <c r="BP27" i="18" a="1"/>
  <c r="BH27" i="18" a="1"/>
  <c r="AZ27" i="18" a="1"/>
  <c r="BN26" i="18" a="1"/>
  <c r="BF26" i="18" a="1"/>
  <c r="AX26" i="18" a="1"/>
  <c r="BE26" i="18" a="1"/>
  <c r="BM27" i="18" a="1"/>
  <c r="BC26" i="18" a="1"/>
  <c r="BB26" i="18" a="1"/>
  <c r="AX27" i="18" a="1"/>
  <c r="AV27" i="18" a="1"/>
  <c r="AW27" i="18" a="1"/>
  <c r="BL27" i="18" a="1"/>
  <c r="BJ26" i="18" a="1"/>
  <c r="BD27" i="18" a="1"/>
  <c r="AO27" i="18" a="1"/>
  <c r="AR26" i="18" a="1"/>
  <c r="AF26" i="18" a="1"/>
  <c r="AG27" i="18" a="1"/>
  <c r="AU26" i="18" a="1"/>
  <c r="AM26" i="18" a="1"/>
  <c r="AE26" i="18" a="1"/>
  <c r="AB26" i="18" a="1"/>
  <c r="Z26" i="18" a="1"/>
  <c r="AA27" i="18" a="1"/>
  <c r="AN26" i="18" a="1"/>
  <c r="AN27" i="18" a="1"/>
  <c r="AF27" i="18" a="1"/>
  <c r="AT26" i="18" a="1"/>
  <c r="AL26" i="18" a="1"/>
  <c r="AD26" i="18" a="1"/>
  <c r="AD27" i="18" a="1"/>
  <c r="AJ27" i="18" a="1"/>
  <c r="AU27" i="18" a="1"/>
  <c r="AM27" i="18" a="1"/>
  <c r="AE27" i="18" a="1"/>
  <c r="AS26" i="18" a="1"/>
  <c r="AK26" i="18" a="1"/>
  <c r="AC26" i="18" a="1"/>
  <c r="AB27" i="18" a="1"/>
  <c r="AO26" i="18" a="1"/>
  <c r="Z27" i="18" a="1"/>
  <c r="AT27" i="18" a="1"/>
  <c r="AL27" i="18" a="1"/>
  <c r="AJ26" i="18" a="1"/>
  <c r="AR27" i="18" a="1"/>
  <c r="AS27" i="18" a="1"/>
  <c r="AK27" i="18" a="1"/>
  <c r="AC27" i="18" a="1"/>
  <c r="AQ26" i="18" a="1"/>
  <c r="AI26" i="18" a="1"/>
  <c r="AA26" i="18" a="1"/>
  <c r="AH26" i="18" a="1"/>
  <c r="AP26" i="18" a="1"/>
  <c r="AG26" i="18" a="1"/>
  <c r="AH27" i="18" a="1"/>
  <c r="AQ27" i="18" a="1"/>
  <c r="AP27" i="18" a="1"/>
  <c r="AI27" i="18" a="1"/>
  <c r="G26" i="18" a="1"/>
  <c r="K27" i="18" a="1"/>
  <c r="N26" i="18" a="1"/>
  <c r="E26" i="18" a="1"/>
  <c r="D26" i="18" a="1"/>
  <c r="K26" i="18" a="1"/>
  <c r="I27" i="18" a="1"/>
  <c r="L26" i="18" a="1"/>
  <c r="O27" i="18" a="1"/>
  <c r="H26" i="18" a="1"/>
  <c r="D27" i="18" a="1"/>
  <c r="N27" i="18" a="1"/>
  <c r="L27" i="18" a="1"/>
  <c r="H27" i="18" a="1"/>
  <c r="G27" i="18" a="1"/>
  <c r="M26" i="18" a="1"/>
  <c r="F27" i="18" a="1"/>
  <c r="J26" i="18" a="1"/>
  <c r="O26" i="18" a="1"/>
  <c r="M27" i="18" a="1"/>
  <c r="E27" i="18" a="1"/>
  <c r="J27" i="18" a="1"/>
  <c r="I26" i="18" a="1"/>
  <c r="F26" i="18" a="1"/>
  <c r="AL26" i="17" a="1"/>
  <c r="AM27" i="17" a="1"/>
  <c r="AK26" i="17" a="1"/>
  <c r="AL27" i="17" a="1"/>
  <c r="AJ26" i="17" a="1"/>
  <c r="AK27" i="17" a="1"/>
  <c r="AI26" i="17" a="1"/>
  <c r="AI27" i="17" a="1"/>
  <c r="AH27" i="17" a="1"/>
  <c r="AJ27" i="17" a="1"/>
  <c r="AH26" i="17" a="1"/>
  <c r="AM26" i="17" a="1"/>
  <c r="AG27" i="17" a="1"/>
  <c r="AE26" i="17" a="1"/>
  <c r="AG26" i="17" a="1"/>
  <c r="AF27" i="17" a="1"/>
  <c r="AD26" i="17" a="1"/>
  <c r="AE27" i="17" a="1"/>
  <c r="AC26" i="17" a="1"/>
  <c r="AB27" i="17" a="1"/>
  <c r="AD27" i="17" a="1"/>
  <c r="AB26" i="17" a="1"/>
  <c r="AC27" i="17" a="1"/>
  <c r="AF26" i="17" a="1"/>
  <c r="Z26" i="19" a="1"/>
  <c r="AA27" i="19" a="1"/>
  <c r="Y26" i="19" a="1"/>
  <c r="Z27" i="19" a="1"/>
  <c r="X26" i="19" a="1"/>
  <c r="Y27" i="19" a="1"/>
  <c r="V26" i="19" a="1"/>
  <c r="W27" i="19" a="1"/>
  <c r="W26" i="19" a="1"/>
  <c r="X27" i="19" a="1"/>
  <c r="V27" i="19" a="1"/>
  <c r="AA26" i="19" a="1"/>
  <c r="T26" i="19" a="1"/>
  <c r="P27" i="19" a="1"/>
  <c r="U27" i="19" a="1"/>
  <c r="S26" i="19" a="1"/>
  <c r="U26" i="19" a="1"/>
  <c r="T27" i="19" a="1"/>
  <c r="R26" i="19" a="1"/>
  <c r="S27" i="19" a="1"/>
  <c r="Q26" i="19" a="1"/>
  <c r="R27" i="19" a="1"/>
  <c r="P26" i="19" a="1"/>
  <c r="Q27" i="19" a="1"/>
  <c r="N26" i="19" a="1"/>
  <c r="N27" i="19" a="1"/>
  <c r="L26" i="19" a="1"/>
  <c r="J27" i="19" a="1"/>
  <c r="O27" i="19" a="1"/>
  <c r="M26" i="19" a="1"/>
  <c r="M27" i="19" a="1"/>
  <c r="K26" i="19" a="1"/>
  <c r="K27" i="19" a="1"/>
  <c r="L27" i="19" a="1"/>
  <c r="J26" i="19" a="1"/>
  <c r="O26" i="19" a="1"/>
  <c r="D27" i="19" a="1"/>
  <c r="I26" i="19" a="1"/>
  <c r="H26" i="19" a="1"/>
  <c r="D26" i="19" a="1"/>
  <c r="I27" i="19" a="1"/>
  <c r="G26" i="19" a="1"/>
  <c r="G27" i="19" a="1"/>
  <c r="H27" i="19" a="1"/>
  <c r="F26" i="19" a="1"/>
  <c r="E26" i="19" a="1"/>
  <c r="F27" i="19" a="1"/>
  <c r="E27" i="19" a="1"/>
  <c r="BA27" i="20" a="1"/>
  <c r="BD27" i="20" a="1"/>
  <c r="BE26" i="20" a="1"/>
  <c r="BD26" i="20" a="1"/>
  <c r="BB27" i="20" a="1"/>
  <c r="BE27" i="20" a="1"/>
  <c r="BB26" i="20" a="1"/>
  <c r="BC27" i="20" a="1"/>
  <c r="BC26" i="20" a="1"/>
  <c r="BA26" i="20" a="1"/>
  <c r="AW27" i="20" a="1"/>
  <c r="AV27" i="20" a="1"/>
  <c r="AZ26" i="20" a="1"/>
  <c r="AY26" i="20" a="1"/>
  <c r="AX26" i="20" a="1"/>
  <c r="AZ27" i="20" a="1"/>
  <c r="AW26" i="20" a="1"/>
  <c r="AV26" i="20" a="1"/>
  <c r="AY27" i="20" a="1"/>
  <c r="AX27" i="20" a="1"/>
  <c r="AT26" i="20" a="1"/>
  <c r="AU27" i="20" a="1"/>
  <c r="AS26" i="20" a="1"/>
  <c r="AT27" i="20" a="1"/>
  <c r="AR26" i="20" a="1"/>
  <c r="AP27" i="20" a="1"/>
  <c r="AS27" i="20" a="1"/>
  <c r="AQ26" i="20" a="1"/>
  <c r="AR27" i="20" a="1"/>
  <c r="AP26" i="20" a="1"/>
  <c r="AQ27" i="20" a="1"/>
  <c r="AU26" i="20" a="1"/>
  <c r="AN26" i="20" a="1"/>
  <c r="AM26" i="20" a="1"/>
  <c r="AN27" i="20" a="1"/>
  <c r="AM27" i="20" a="1"/>
  <c r="AO27" i="20" a="1"/>
  <c r="AL26" i="20" a="1"/>
  <c r="AK26" i="20" a="1"/>
  <c r="AL27" i="20" a="1"/>
  <c r="AJ26" i="20" a="1"/>
  <c r="AK27" i="20" a="1"/>
  <c r="AJ27" i="20" a="1"/>
  <c r="AO26" i="20" a="1"/>
  <c r="AE27" i="20" a="1"/>
  <c r="AI26" i="20" a="1"/>
  <c r="AH26" i="20" a="1"/>
  <c r="AG26" i="20" a="1"/>
  <c r="AF26" i="20" a="1"/>
  <c r="AI27" i="20" a="1"/>
  <c r="AH27" i="20" a="1"/>
  <c r="AE26" i="20" a="1"/>
  <c r="AG27" i="20" a="1"/>
  <c r="AF27" i="20" a="1"/>
  <c r="AA27" i="20" a="1"/>
  <c r="AD26" i="20" a="1"/>
  <c r="AB27" i="20" a="1"/>
  <c r="Z27" i="20" a="1"/>
  <c r="AC26" i="20" a="1"/>
  <c r="AD27" i="20" a="1"/>
  <c r="AB26" i="20" a="1"/>
  <c r="AA26" i="20" a="1"/>
  <c r="Z26" i="20" a="1"/>
  <c r="AC27" i="20" a="1"/>
  <c r="X26" i="20" a="1"/>
  <c r="Y27" i="20" a="1"/>
  <c r="W26" i="20" a="1"/>
  <c r="X27" i="20" a="1"/>
  <c r="V26" i="20" a="1"/>
  <c r="W27" i="20" a="1"/>
  <c r="V27" i="20" a="1"/>
  <c r="Y26" i="20" a="1"/>
  <c r="U26" i="20" a="1"/>
  <c r="T26" i="20" a="1"/>
  <c r="U27" i="20" a="1"/>
  <c r="T27" i="20" a="1"/>
  <c r="S26" i="20" a="1"/>
  <c r="S27" i="20" a="1"/>
  <c r="O27" i="20" a="1"/>
  <c r="N27" i="20" a="1"/>
  <c r="R26" i="20" a="1"/>
  <c r="Q26" i="20" a="1"/>
  <c r="Q27" i="20" a="1"/>
  <c r="P27" i="20" a="1"/>
  <c r="R27" i="20" a="1"/>
  <c r="N26" i="20" a="1"/>
  <c r="P26" i="20" a="1"/>
  <c r="O26" i="20" a="1"/>
  <c r="J27" i="20" a="1"/>
  <c r="M26" i="20" a="1"/>
  <c r="L26" i="20" a="1"/>
  <c r="I27" i="20" a="1"/>
  <c r="K26" i="20" a="1"/>
  <c r="M27" i="20" a="1"/>
  <c r="J26" i="20" a="1"/>
  <c r="L27" i="20" a="1"/>
  <c r="I26" i="20" a="1"/>
  <c r="K27" i="20" a="1"/>
  <c r="G27" i="20" a="1"/>
  <c r="H26" i="20" a="1"/>
  <c r="F27" i="20" a="1"/>
  <c r="E27" i="20" a="1"/>
  <c r="G26" i="20" a="1"/>
  <c r="D27" i="20" a="1"/>
  <c r="F26" i="20" a="1"/>
  <c r="D26" i="20" a="1"/>
  <c r="E26" i="20" a="1"/>
  <c r="H27" i="20" a="1"/>
  <c r="V27" i="18" a="1"/>
  <c r="U27" i="18" a="1"/>
  <c r="Y26" i="18" a="1"/>
  <c r="X26" i="18" a="1"/>
  <c r="W26" i="18" a="1"/>
  <c r="Y27" i="18" a="1"/>
  <c r="V26" i="18" a="1"/>
  <c r="X27" i="18" a="1"/>
  <c r="U26" i="18" a="1"/>
  <c r="W27" i="18" a="1"/>
  <c r="T26" i="18" a="1"/>
  <c r="Q27" i="18" a="1"/>
  <c r="P27" i="18" a="1"/>
  <c r="S26" i="18" a="1"/>
  <c r="R26" i="18" a="1"/>
  <c r="Q26" i="18" a="1"/>
  <c r="P26" i="18" a="1"/>
  <c r="R27" i="18" a="1"/>
  <c r="T27" i="18" a="1"/>
  <c r="S27" i="18" a="1"/>
  <c r="AF26" i="13" a="1"/>
  <c r="AG26" i="13" a="1"/>
  <c r="AI27" i="13" a="1"/>
  <c r="AH27" i="13" a="1"/>
  <c r="AG27" i="13" a="1"/>
  <c r="AF27" i="13" a="1"/>
  <c r="AH26" i="13" a="1"/>
  <c r="AI26" i="13" a="1"/>
  <c r="AS27" i="8" a="1"/>
  <c r="AR27" i="8" a="1"/>
  <c r="AQ27" i="8" a="1"/>
  <c r="AP27" i="8" a="1"/>
  <c r="AS26" i="8" a="1"/>
  <c r="AR26" i="8" a="1"/>
  <c r="AP26" i="8" a="1"/>
  <c r="AQ26" i="8" a="1"/>
  <c r="AI26" i="13" l="1"/>
  <c r="AH26" i="13"/>
  <c r="AF27" i="13"/>
  <c r="AG27" i="13"/>
  <c r="AH27" i="13"/>
  <c r="AI27" i="13"/>
  <c r="AG26" i="13"/>
  <c r="AF26" i="13"/>
  <c r="AQ26" i="8"/>
  <c r="AP26" i="8"/>
  <c r="AR26" i="8"/>
  <c r="AS26" i="8"/>
  <c r="AP27" i="8"/>
  <c r="AQ27" i="8"/>
  <c r="AR27" i="8"/>
  <c r="AS27" i="8"/>
  <c r="BD27" i="18"/>
  <c r="BJ26" i="18"/>
  <c r="BL27" i="18"/>
  <c r="AW27" i="18"/>
  <c r="AV27" i="18"/>
  <c r="AX27" i="18"/>
  <c r="BB26" i="18"/>
  <c r="BC26" i="18"/>
  <c r="BM27" i="18"/>
  <c r="BE26" i="18"/>
  <c r="AX26" i="18"/>
  <c r="BF26" i="18"/>
  <c r="BN26" i="18"/>
  <c r="AZ27" i="18"/>
  <c r="BH27" i="18"/>
  <c r="BP27" i="18"/>
  <c r="AV26" i="18"/>
  <c r="AY27" i="18"/>
  <c r="BD26" i="18"/>
  <c r="BF27" i="18"/>
  <c r="AY26" i="18"/>
  <c r="BG26" i="18"/>
  <c r="BO26" i="18"/>
  <c r="BA27" i="18"/>
  <c r="BI27" i="18"/>
  <c r="BQ27" i="18"/>
  <c r="BE27" i="18"/>
  <c r="BK26" i="18"/>
  <c r="AW26" i="18"/>
  <c r="BO27" i="18"/>
  <c r="AZ26" i="18"/>
  <c r="BH26" i="18"/>
  <c r="BP26" i="18"/>
  <c r="BB27" i="18"/>
  <c r="BJ27" i="18"/>
  <c r="BG27" i="18"/>
  <c r="BA26" i="18"/>
  <c r="BI26" i="18"/>
  <c r="BQ26" i="18"/>
  <c r="BC27" i="18"/>
  <c r="BK27" i="18"/>
  <c r="BL26" i="18"/>
  <c r="BN27" i="18"/>
  <c r="BM26" i="18"/>
  <c r="AI27" i="18"/>
  <c r="AP27" i="18"/>
  <c r="AQ27" i="18"/>
  <c r="AH27" i="18"/>
  <c r="AG26" i="18"/>
  <c r="AP26" i="18"/>
  <c r="AH26" i="18"/>
  <c r="AA26" i="18"/>
  <c r="AI26" i="18"/>
  <c r="AQ26" i="18"/>
  <c r="AC27" i="18"/>
  <c r="AK27" i="18"/>
  <c r="AS27" i="18"/>
  <c r="AR27" i="18"/>
  <c r="AJ26" i="18"/>
  <c r="AL27" i="18"/>
  <c r="AT27" i="18"/>
  <c r="Z27" i="18"/>
  <c r="AO26" i="18"/>
  <c r="AB27" i="18"/>
  <c r="AC26" i="18"/>
  <c r="AK26" i="18"/>
  <c r="AS26" i="18"/>
  <c r="AE27" i="18"/>
  <c r="AM27" i="18"/>
  <c r="AU27" i="18"/>
  <c r="AJ27" i="18"/>
  <c r="AD27" i="18"/>
  <c r="AD26" i="18"/>
  <c r="AL26" i="18"/>
  <c r="AT26" i="18"/>
  <c r="AF27" i="18"/>
  <c r="AN27" i="18"/>
  <c r="AN26" i="18"/>
  <c r="AA27" i="18"/>
  <c r="Z26" i="18"/>
  <c r="AB26" i="18"/>
  <c r="AE26" i="18"/>
  <c r="AM26" i="18"/>
  <c r="AU26" i="18"/>
  <c r="AG27" i="18"/>
  <c r="AF26" i="18"/>
  <c r="AR26" i="18"/>
  <c r="AO27" i="18"/>
  <c r="AM26" i="17"/>
  <c r="AH26" i="17"/>
  <c r="AJ27" i="17"/>
  <c r="AH27" i="17"/>
  <c r="AI27" i="17"/>
  <c r="AI26" i="17"/>
  <c r="AK27" i="17"/>
  <c r="AJ26" i="17"/>
  <c r="AL27" i="17"/>
  <c r="AK26" i="17"/>
  <c r="AM27" i="17"/>
  <c r="AL26" i="17"/>
  <c r="AF26" i="17"/>
  <c r="AC27" i="17"/>
  <c r="AB26" i="17"/>
  <c r="AD27" i="17"/>
  <c r="AB27" i="17"/>
  <c r="AC26" i="17"/>
  <c r="AE27" i="17"/>
  <c r="AD26" i="17"/>
  <c r="AF27" i="17"/>
  <c r="AG26" i="17"/>
  <c r="AE26" i="17"/>
  <c r="AG27" i="17"/>
  <c r="AA26" i="19"/>
  <c r="V27" i="19"/>
  <c r="X27" i="19"/>
  <c r="W26" i="19"/>
  <c r="W27" i="19"/>
  <c r="V26" i="19"/>
  <c r="Y27" i="19"/>
  <c r="X26" i="19"/>
  <c r="Z27" i="19"/>
  <c r="Y26" i="19"/>
  <c r="AA27" i="19"/>
  <c r="Z26" i="19"/>
  <c r="Q27" i="19"/>
  <c r="P26" i="19"/>
  <c r="R27" i="19"/>
  <c r="Q26" i="19"/>
  <c r="S27" i="19"/>
  <c r="R26" i="19"/>
  <c r="T27" i="19"/>
  <c r="U26" i="19"/>
  <c r="S26" i="19"/>
  <c r="U27" i="19"/>
  <c r="P27" i="19"/>
  <c r="T26" i="19"/>
  <c r="O26" i="19"/>
  <c r="J26" i="19"/>
  <c r="L27" i="19"/>
  <c r="K27" i="19"/>
  <c r="K26" i="19"/>
  <c r="M27" i="19"/>
  <c r="M26" i="19"/>
  <c r="O27" i="19"/>
  <c r="J27" i="19"/>
  <c r="L26" i="19"/>
  <c r="N27" i="19"/>
  <c r="N26" i="19"/>
  <c r="E27" i="19"/>
  <c r="F27" i="19"/>
  <c r="E26" i="19"/>
  <c r="F26" i="19"/>
  <c r="H27" i="19"/>
  <c r="G27" i="19"/>
  <c r="G26" i="19"/>
  <c r="I27" i="19"/>
  <c r="D26" i="19"/>
  <c r="H26" i="19"/>
  <c r="I26" i="19"/>
  <c r="D27" i="19"/>
  <c r="BA26" i="20"/>
  <c r="BC26" i="20"/>
  <c r="BC27" i="20"/>
  <c r="BB26" i="20"/>
  <c r="BE27" i="20"/>
  <c r="BB27" i="20"/>
  <c r="BD26" i="20"/>
  <c r="BE26" i="20"/>
  <c r="BD27" i="20"/>
  <c r="BA27" i="20"/>
  <c r="AX27" i="20"/>
  <c r="AY27" i="20"/>
  <c r="AV26" i="20"/>
  <c r="AW26" i="20"/>
  <c r="AZ27" i="20"/>
  <c r="AX26" i="20"/>
  <c r="AY26" i="20"/>
  <c r="AZ26" i="20"/>
  <c r="AV27" i="20"/>
  <c r="AW27" i="20"/>
  <c r="AU26" i="20"/>
  <c r="AQ27" i="20"/>
  <c r="AP26" i="20"/>
  <c r="AR27" i="20"/>
  <c r="AQ26" i="20"/>
  <c r="AS27" i="20"/>
  <c r="AP27" i="20"/>
  <c r="AR26" i="20"/>
  <c r="AT27" i="20"/>
  <c r="AS26" i="20"/>
  <c r="AU27" i="20"/>
  <c r="AT26" i="20"/>
  <c r="AO26" i="20"/>
  <c r="AJ27" i="20"/>
  <c r="AK27" i="20"/>
  <c r="AJ26" i="20"/>
  <c r="AL27" i="20"/>
  <c r="AK26" i="20"/>
  <c r="AL26" i="20"/>
  <c r="AO27" i="20"/>
  <c r="AM27" i="20"/>
  <c r="AN27" i="20"/>
  <c r="AM26" i="20"/>
  <c r="AN26" i="20"/>
  <c r="AF27" i="20"/>
  <c r="AG27" i="20"/>
  <c r="AE26" i="20"/>
  <c r="AH27" i="20"/>
  <c r="AI27" i="20"/>
  <c r="AF26" i="20"/>
  <c r="AG26" i="20"/>
  <c r="AH26" i="20"/>
  <c r="AI26" i="20"/>
  <c r="AE27" i="20"/>
  <c r="AC27" i="20"/>
  <c r="Z26" i="20"/>
  <c r="AA26" i="20"/>
  <c r="AB26" i="20"/>
  <c r="AD27" i="20"/>
  <c r="AC26" i="20"/>
  <c r="Z27" i="20"/>
  <c r="AB27" i="20"/>
  <c r="AD26" i="20"/>
  <c r="AA27" i="20"/>
  <c r="T27" i="20"/>
  <c r="U27" i="20"/>
  <c r="T26" i="20"/>
  <c r="U26" i="20"/>
  <c r="Y26" i="20"/>
  <c r="V27" i="20"/>
  <c r="W27" i="20"/>
  <c r="V26" i="20"/>
  <c r="X27" i="20"/>
  <c r="W26" i="20"/>
  <c r="Y27" i="20"/>
  <c r="X26" i="20"/>
  <c r="S27" i="20"/>
  <c r="S26" i="20"/>
  <c r="O26" i="20"/>
  <c r="P26" i="20"/>
  <c r="N26" i="20"/>
  <c r="R27" i="20"/>
  <c r="P27" i="20"/>
  <c r="Q27" i="20"/>
  <c r="Q26" i="20"/>
  <c r="R26" i="20"/>
  <c r="N27" i="20"/>
  <c r="O27" i="20"/>
  <c r="K27" i="20"/>
  <c r="I26" i="20"/>
  <c r="L27" i="20"/>
  <c r="J26" i="20"/>
  <c r="M27" i="20"/>
  <c r="K26" i="20"/>
  <c r="I27" i="20"/>
  <c r="L26" i="20"/>
  <c r="M26" i="20"/>
  <c r="J27" i="20"/>
  <c r="H27" i="20"/>
  <c r="E26" i="20"/>
  <c r="D26" i="20"/>
  <c r="F26" i="20"/>
  <c r="D27" i="20"/>
  <c r="G26" i="20"/>
  <c r="E27" i="20"/>
  <c r="F27" i="20"/>
  <c r="H26" i="20"/>
  <c r="G27" i="20"/>
  <c r="W27" i="18"/>
  <c r="U26" i="18"/>
  <c r="X27" i="18"/>
  <c r="V26" i="18"/>
  <c r="Y27" i="18"/>
  <c r="W26" i="18"/>
  <c r="X26" i="18"/>
  <c r="Y26" i="18"/>
  <c r="U27" i="18"/>
  <c r="V27" i="18"/>
  <c r="S27" i="18"/>
  <c r="T27" i="18"/>
  <c r="R27" i="18"/>
  <c r="P26" i="18"/>
  <c r="Q26" i="18"/>
  <c r="R26" i="18"/>
  <c r="S26" i="18"/>
  <c r="P27" i="18"/>
  <c r="Q27" i="18"/>
  <c r="T26" i="18"/>
  <c r="O26" i="18"/>
  <c r="L27" i="18"/>
  <c r="L26" i="18"/>
  <c r="N27" i="18"/>
  <c r="J27" i="18"/>
  <c r="K27" i="18"/>
  <c r="J26" i="18"/>
  <c r="M27" i="18"/>
  <c r="M26" i="18"/>
  <c r="O27" i="18"/>
  <c r="K26" i="18"/>
  <c r="N26" i="18"/>
  <c r="D26" i="18"/>
  <c r="F26" i="18"/>
  <c r="D27" i="18"/>
  <c r="E27" i="18"/>
  <c r="F27" i="18"/>
  <c r="H26" i="18"/>
  <c r="I27" i="18"/>
  <c r="E26" i="18"/>
  <c r="G26" i="18"/>
  <c r="I26" i="18"/>
  <c r="G27" i="18"/>
  <c r="H27" i="18"/>
  <c r="V26" i="17"/>
  <c r="AA26" i="17"/>
  <c r="W27" i="17"/>
  <c r="X27" i="17"/>
  <c r="W26" i="17"/>
  <c r="Y27" i="17"/>
  <c r="Z27" i="17"/>
  <c r="X26" i="17"/>
  <c r="Y26" i="17"/>
  <c r="AA27" i="17"/>
  <c r="V27" i="17"/>
  <c r="Z26" i="17"/>
  <c r="R27" i="17"/>
  <c r="P26" i="17"/>
  <c r="U26" i="17"/>
  <c r="Q26" i="17"/>
  <c r="T27" i="17"/>
  <c r="P27" i="17"/>
  <c r="R26" i="17"/>
  <c r="U27" i="17"/>
  <c r="Q27" i="17"/>
  <c r="S27" i="17"/>
  <c r="S26" i="17"/>
  <c r="T26" i="17"/>
  <c r="O26" i="17"/>
  <c r="N26" i="17"/>
  <c r="J27" i="17"/>
  <c r="M27" i="17"/>
  <c r="K27" i="17"/>
  <c r="J26" i="17"/>
  <c r="L27" i="17"/>
  <c r="K26" i="17"/>
  <c r="L26" i="17"/>
  <c r="N27" i="17"/>
  <c r="M26" i="17"/>
  <c r="O27" i="17"/>
  <c r="I7" i="17"/>
  <c r="H7" i="17"/>
  <c r="G7" i="17"/>
  <c r="F7" i="17"/>
  <c r="E7" i="17"/>
  <c r="D7" i="17"/>
  <c r="E7" i="16"/>
  <c r="E7" i="15"/>
  <c r="E7" i="14"/>
  <c r="E27" i="15" a="1"/>
  <c r="E26" i="15" a="1"/>
  <c r="D27" i="17" a="1"/>
  <c r="D26" i="17" a="1"/>
  <c r="H26" i="17" a="1"/>
  <c r="F27" i="17" a="1"/>
  <c r="I26" i="17" a="1"/>
  <c r="I27" i="17" a="1"/>
  <c r="G26" i="17" a="1"/>
  <c r="H27" i="17" a="1"/>
  <c r="F26" i="17" a="1"/>
  <c r="E26" i="17" a="1"/>
  <c r="G27" i="17" a="1"/>
  <c r="E27" i="17" a="1"/>
  <c r="D28" i="1" a="1"/>
  <c r="AY30" i="18" a="1"/>
  <c r="AY31" i="18" a="1"/>
  <c r="AY29" i="18" a="1"/>
  <c r="AY28" i="18" a="1"/>
  <c r="BB28" i="18" a="1"/>
  <c r="BB29" i="18" a="1"/>
  <c r="BB31" i="18" a="1"/>
  <c r="BB30" i="18" a="1"/>
  <c r="BL30" i="18" a="1"/>
  <c r="BL29" i="18" a="1"/>
  <c r="BL31" i="18" a="1"/>
  <c r="BL28" i="18" a="1"/>
  <c r="BJ29" i="18" a="1"/>
  <c r="BJ28" i="18" a="1"/>
  <c r="BJ31" i="18" a="1"/>
  <c r="BJ30" i="18" a="1"/>
  <c r="AW31" i="18" a="1"/>
  <c r="AW29" i="18" a="1"/>
  <c r="AW30" i="18" a="1"/>
  <c r="AW28" i="18" a="1"/>
  <c r="BF31" i="18" a="1"/>
  <c r="BF30" i="18" a="1"/>
  <c r="BF29" i="18" a="1"/>
  <c r="BF28" i="18" a="1"/>
  <c r="BG28" i="18" a="1"/>
  <c r="BG31" i="18" a="1"/>
  <c r="BG30" i="18" a="1"/>
  <c r="BG29" i="18" a="1"/>
  <c r="AV30" i="18" a="1"/>
  <c r="AV29" i="18" a="1"/>
  <c r="AV31" i="18" a="1"/>
  <c r="AV28" i="18" a="1"/>
  <c r="AX31" i="18" a="1"/>
  <c r="AX28" i="18" a="1"/>
  <c r="AX30" i="18" a="1"/>
  <c r="AX29" i="18" a="1"/>
  <c r="BE31" i="18" a="1"/>
  <c r="BE30" i="18" a="1"/>
  <c r="BE29" i="18" a="1"/>
  <c r="BE28" i="18" a="1"/>
  <c r="BO28" i="18" a="1"/>
  <c r="BO30" i="18" a="1"/>
  <c r="BO31" i="18" a="1"/>
  <c r="BO29" i="18" a="1"/>
  <c r="BA28" i="18" a="1"/>
  <c r="BA31" i="18" a="1"/>
  <c r="BA29" i="18" a="1"/>
  <c r="BA30" i="18" a="1"/>
  <c r="BC30" i="18" a="1"/>
  <c r="BC29" i="18" a="1"/>
  <c r="BC28" i="18" a="1"/>
  <c r="BC31" i="18" a="1"/>
  <c r="BQ28" i="18" a="1"/>
  <c r="BQ29" i="18" a="1"/>
  <c r="BQ31" i="18" a="1"/>
  <c r="BQ30" i="18" a="1"/>
  <c r="BN31" i="18" a="1"/>
  <c r="BN28" i="18" a="1"/>
  <c r="BN30" i="18" a="1"/>
  <c r="BN29" i="18" a="1"/>
  <c r="AZ29" i="18" a="1"/>
  <c r="AZ28" i="18" a="1"/>
  <c r="AZ31" i="18" a="1"/>
  <c r="AZ30" i="18" a="1"/>
  <c r="BH31" i="18" a="1"/>
  <c r="BH28" i="18" a="1"/>
  <c r="BH29" i="18" a="1"/>
  <c r="BH30" i="18" a="1"/>
  <c r="BD30" i="18" a="1"/>
  <c r="BD31" i="18" a="1"/>
  <c r="BD29" i="18" a="1"/>
  <c r="BD28" i="18" a="1"/>
  <c r="BM31" i="18" a="1"/>
  <c r="BM29" i="18" a="1"/>
  <c r="BM28" i="18" a="1"/>
  <c r="BM30" i="18" a="1"/>
  <c r="BI28" i="18" a="1"/>
  <c r="BI31" i="18" a="1"/>
  <c r="BI29" i="18" a="1"/>
  <c r="BI30" i="18" a="1"/>
  <c r="BK28" i="18" a="1"/>
  <c r="BK30" i="18" a="1"/>
  <c r="BK29" i="18" a="1"/>
  <c r="BK31" i="18" a="1"/>
  <c r="BP31" i="18" a="1"/>
  <c r="BP29" i="18" a="1"/>
  <c r="BP30" i="18" a="1"/>
  <c r="BP28" i="18" a="1"/>
  <c r="AP31" i="18" a="1"/>
  <c r="AP30" i="18" a="1"/>
  <c r="AP28" i="18" a="1"/>
  <c r="AP29" i="18" a="1"/>
  <c r="Z30" i="18" a="1"/>
  <c r="Z29" i="18" a="1"/>
  <c r="Z28" i="18" a="1"/>
  <c r="Z31" i="18" a="1"/>
  <c r="AQ31" i="18" a="1"/>
  <c r="AQ30" i="18" a="1"/>
  <c r="AQ29" i="18" a="1"/>
  <c r="AQ28" i="18" a="1"/>
  <c r="AA30" i="18" a="1"/>
  <c r="AA29" i="18" a="1"/>
  <c r="AA31" i="18" a="1"/>
  <c r="AA28" i="18" a="1"/>
  <c r="AH30" i="18" a="1"/>
  <c r="AH31" i="18" a="1"/>
  <c r="AH29" i="18" a="1"/>
  <c r="AH28" i="18" a="1"/>
  <c r="AB31" i="18" a="1"/>
  <c r="AB29" i="18" a="1"/>
  <c r="AB28" i="18" a="1"/>
  <c r="AB30" i="18" a="1"/>
  <c r="AE29" i="18" a="1"/>
  <c r="AE28" i="18" a="1"/>
  <c r="AE31" i="18" a="1"/>
  <c r="AE30" i="18" a="1"/>
  <c r="AM29" i="18" a="1"/>
  <c r="AM28" i="18" a="1"/>
  <c r="AM31" i="18" a="1"/>
  <c r="AM30" i="18" a="1"/>
  <c r="AG30" i="18" a="1"/>
  <c r="AG29" i="18" a="1"/>
  <c r="AG28" i="18" a="1"/>
  <c r="AG31" i="18" a="1"/>
  <c r="AU28" i="18" a="1"/>
  <c r="AU29" i="18" a="1"/>
  <c r="AU31" i="18" a="1"/>
  <c r="AU30" i="18" a="1"/>
  <c r="AC31" i="18" a="1"/>
  <c r="AC28" i="18" a="1"/>
  <c r="AC30" i="18" a="1"/>
  <c r="AC29" i="18" a="1"/>
  <c r="AJ31" i="18" a="1"/>
  <c r="AJ30" i="18" a="1"/>
  <c r="AJ28" i="18" a="1"/>
  <c r="AJ29" i="18" a="1"/>
  <c r="AN29" i="18" a="1"/>
  <c r="AN30" i="18" a="1"/>
  <c r="AN28" i="18" a="1"/>
  <c r="AN31" i="18" a="1"/>
  <c r="AK31" i="18" a="1"/>
  <c r="AK28" i="18" a="1"/>
  <c r="AK30" i="18" a="1"/>
  <c r="AK29" i="18" a="1"/>
  <c r="AD28" i="18" a="1"/>
  <c r="AD29" i="18" a="1"/>
  <c r="AD31" i="18" a="1"/>
  <c r="AD30" i="18" a="1"/>
  <c r="AO29" i="18" a="1"/>
  <c r="AO28" i="18" a="1"/>
  <c r="AO31" i="18" a="1"/>
  <c r="AO30" i="18" a="1"/>
  <c r="AT28" i="18" a="1"/>
  <c r="AT31" i="18" a="1"/>
  <c r="AT30" i="18" a="1"/>
  <c r="AT29" i="18" a="1"/>
  <c r="AS31" i="18" a="1"/>
  <c r="AS30" i="18" a="1"/>
  <c r="AS28" i="18" a="1"/>
  <c r="AS29" i="18" a="1"/>
  <c r="AI31" i="18" a="1"/>
  <c r="AI30" i="18" a="1"/>
  <c r="AI29" i="18" a="1"/>
  <c r="AI28" i="18" a="1"/>
  <c r="AR28" i="18" a="1"/>
  <c r="AR31" i="18" a="1"/>
  <c r="AR30" i="18" a="1"/>
  <c r="AR29" i="18" a="1"/>
  <c r="AL28" i="18" a="1"/>
  <c r="AL29" i="18" a="1"/>
  <c r="AL31" i="18" a="1"/>
  <c r="AL30" i="18" a="1"/>
  <c r="AF29" i="18" a="1"/>
  <c r="AF31" i="18" a="1"/>
  <c r="AF28" i="18" a="1"/>
  <c r="AF30" i="18" a="1"/>
  <c r="D31" i="18" a="1"/>
  <c r="D28" i="18" a="1"/>
  <c r="D29" i="18" a="1"/>
  <c r="H28" i="18" a="1"/>
  <c r="H29" i="18" a="1"/>
  <c r="E28" i="18" a="1"/>
  <c r="H30" i="18" a="1"/>
  <c r="G28" i="18" a="1"/>
  <c r="H31" i="18" a="1"/>
  <c r="I28" i="18" a="1"/>
  <c r="F29" i="18" a="1"/>
  <c r="I29" i="18" a="1"/>
  <c r="F30" i="18" a="1"/>
  <c r="I31" i="18" a="1"/>
  <c r="F31" i="18" a="1"/>
  <c r="I30" i="18" a="1"/>
  <c r="F28" i="18" a="1"/>
  <c r="D30" i="18" a="1"/>
  <c r="G29" i="18" a="1"/>
  <c r="E30" i="18" a="1"/>
  <c r="G30" i="18" a="1"/>
  <c r="E31" i="18" a="1"/>
  <c r="G31" i="18" a="1"/>
  <c r="E29" i="18" a="1"/>
  <c r="L28" i="18" a="1"/>
  <c r="N31" i="18" a="1"/>
  <c r="L31" i="18" a="1"/>
  <c r="N28" i="18" a="1"/>
  <c r="L29" i="18" a="1"/>
  <c r="N30" i="18" a="1"/>
  <c r="M29" i="18" a="1"/>
  <c r="M28" i="18" a="1"/>
  <c r="M31" i="18" a="1"/>
  <c r="M30" i="18" a="1"/>
  <c r="O28" i="18" a="1"/>
  <c r="L30" i="18" a="1"/>
  <c r="O29" i="18" a="1"/>
  <c r="O31" i="18" a="1"/>
  <c r="O30" i="18" a="1"/>
  <c r="K30" i="18" a="1"/>
  <c r="K31" i="18" a="1"/>
  <c r="K29" i="18" a="1"/>
  <c r="K28" i="18" a="1"/>
  <c r="N29" i="18" a="1"/>
  <c r="J30" i="18" a="1"/>
  <c r="J29" i="18" a="1"/>
  <c r="J31" i="18" a="1"/>
  <c r="J28" i="18" a="1"/>
  <c r="AJ31" i="17" a="1"/>
  <c r="AJ28" i="17" a="1"/>
  <c r="AJ30" i="17" a="1"/>
  <c r="AJ29" i="17" a="1"/>
  <c r="AH31" i="17" a="1"/>
  <c r="AH30" i="17" a="1"/>
  <c r="AH29" i="17" a="1"/>
  <c r="AH28" i="17" a="1"/>
  <c r="AI28" i="17" a="1"/>
  <c r="AI31" i="17" a="1"/>
  <c r="AI30" i="17" a="1"/>
  <c r="AI29" i="17" a="1"/>
  <c r="AK29" i="17" a="1"/>
  <c r="AK28" i="17" a="1"/>
  <c r="AK31" i="17" a="1"/>
  <c r="AK30" i="17" a="1"/>
  <c r="AM30" i="17" a="1"/>
  <c r="AM29" i="17" a="1"/>
  <c r="AM28" i="17" a="1"/>
  <c r="AM31" i="17" a="1"/>
  <c r="AL28" i="17" a="1"/>
  <c r="AL29" i="17" a="1"/>
  <c r="AL31" i="17" a="1"/>
  <c r="AL30" i="17" a="1"/>
  <c r="AD29" i="17" a="1"/>
  <c r="AD31" i="17" a="1"/>
  <c r="AD30" i="17" a="1"/>
  <c r="AD28" i="17" a="1"/>
  <c r="AG30" i="17" a="1"/>
  <c r="AG29" i="17" a="1"/>
  <c r="AG28" i="17" a="1"/>
  <c r="AG31" i="17" a="1"/>
  <c r="AC31" i="17" a="1"/>
  <c r="AC28" i="17" a="1"/>
  <c r="AC30" i="17" a="1"/>
  <c r="AC29" i="17" a="1"/>
  <c r="AB30" i="17" a="1"/>
  <c r="AB29" i="17" a="1"/>
  <c r="AB28" i="17" a="1"/>
  <c r="AB31" i="17" a="1"/>
  <c r="AE28" i="17" a="1"/>
  <c r="AE29" i="17" a="1"/>
  <c r="AE31" i="17" a="1"/>
  <c r="AE30" i="17" a="1"/>
  <c r="AF29" i="17" a="1"/>
  <c r="AF28" i="17" a="1"/>
  <c r="AF31" i="17" a="1"/>
  <c r="AF30" i="17" a="1"/>
  <c r="V31" i="19" a="1"/>
  <c r="V30" i="19" a="1"/>
  <c r="V29" i="19" a="1"/>
  <c r="V28" i="19" a="1"/>
  <c r="X31" i="19" a="1"/>
  <c r="X28" i="19" a="1"/>
  <c r="X30" i="19" a="1"/>
  <c r="X29" i="19" a="1"/>
  <c r="W31" i="19" a="1"/>
  <c r="W30" i="19" a="1"/>
  <c r="W28" i="19" a="1"/>
  <c r="W29" i="19" a="1"/>
  <c r="Y29" i="19" a="1"/>
  <c r="Y28" i="19" a="1"/>
  <c r="Y31" i="19" a="1"/>
  <c r="Y30" i="19" a="1"/>
  <c r="Z28" i="19" a="1"/>
  <c r="Z31" i="19" a="1"/>
  <c r="Z29" i="19" a="1"/>
  <c r="Z30" i="19" a="1"/>
  <c r="AA30" i="19" a="1"/>
  <c r="AA29" i="19" a="1"/>
  <c r="AA31" i="19" a="1"/>
  <c r="AA28" i="19" a="1"/>
  <c r="Q28" i="19" a="1"/>
  <c r="Q30" i="19" a="1"/>
  <c r="Q31" i="19" a="1"/>
  <c r="Q29" i="19" a="1"/>
  <c r="R28" i="19" a="1"/>
  <c r="R30" i="19" a="1"/>
  <c r="R31" i="19" a="1"/>
  <c r="R29" i="19" a="1"/>
  <c r="S29" i="19" a="1"/>
  <c r="S31" i="19" a="1"/>
  <c r="S28" i="19" a="1"/>
  <c r="S30" i="19" a="1"/>
  <c r="U30" i="19" a="1"/>
  <c r="U28" i="19" a="1"/>
  <c r="U31" i="19" a="1"/>
  <c r="U29" i="19" a="1"/>
  <c r="P31" i="19" a="1"/>
  <c r="P29" i="19" a="1"/>
  <c r="P30" i="19" a="1"/>
  <c r="P28" i="19" a="1"/>
  <c r="T29" i="19" a="1"/>
  <c r="T31" i="19" a="1"/>
  <c r="T28" i="19" a="1"/>
  <c r="T30" i="19" a="1"/>
  <c r="L28" i="19" a="1"/>
  <c r="L31" i="19" a="1"/>
  <c r="L30" i="19" a="1"/>
  <c r="L29" i="19" a="1"/>
  <c r="K31" i="19" a="1"/>
  <c r="K28" i="19" a="1"/>
  <c r="K30" i="19" a="1"/>
  <c r="K29" i="19" a="1"/>
  <c r="M31" i="19" a="1"/>
  <c r="M30" i="19" a="1"/>
  <c r="M29" i="19" a="1"/>
  <c r="M28" i="19" a="1"/>
  <c r="O30" i="19" a="1"/>
  <c r="O29" i="19" a="1"/>
  <c r="O28" i="19" a="1"/>
  <c r="O31" i="19" a="1"/>
  <c r="J30" i="19" a="1"/>
  <c r="J31" i="19" a="1"/>
  <c r="J29" i="19" a="1"/>
  <c r="J28" i="19" a="1"/>
  <c r="N29" i="19" a="1"/>
  <c r="N28" i="19" a="1"/>
  <c r="N31" i="19" a="1"/>
  <c r="N30" i="19" a="1"/>
  <c r="I29" i="19" a="1"/>
  <c r="I31" i="19" a="1"/>
  <c r="I30" i="19" a="1"/>
  <c r="I28" i="19" a="1"/>
  <c r="D30" i="19" a="1"/>
  <c r="D29" i="19" a="1"/>
  <c r="D28" i="19" a="1"/>
  <c r="D31" i="19" a="1"/>
  <c r="G28" i="19" a="1"/>
  <c r="G31" i="19" a="1"/>
  <c r="G30" i="19" a="1"/>
  <c r="G29" i="19" a="1"/>
  <c r="F31" i="19" a="1"/>
  <c r="F30" i="19" a="1"/>
  <c r="F29" i="19" a="1"/>
  <c r="F28" i="19" a="1"/>
  <c r="H28" i="19" a="1"/>
  <c r="H31" i="19" a="1"/>
  <c r="H30" i="19" a="1"/>
  <c r="H29" i="19" a="1"/>
  <c r="E31" i="19" a="1"/>
  <c r="E29" i="19" a="1"/>
  <c r="E28" i="19" a="1"/>
  <c r="E30" i="19" a="1"/>
  <c r="BC30" i="20" a="1"/>
  <c r="BC31" i="20" a="1"/>
  <c r="BC29" i="20" a="1"/>
  <c r="BC28" i="20" a="1"/>
  <c r="BE28" i="20" a="1"/>
  <c r="BE30" i="20" a="1"/>
  <c r="BE29" i="20" a="1"/>
  <c r="BE31" i="20" a="1"/>
  <c r="BB31" i="20" a="1"/>
  <c r="BB29" i="20" a="1"/>
  <c r="BB28" i="20" a="1"/>
  <c r="BB30" i="20" a="1"/>
  <c r="BD30" i="20" a="1"/>
  <c r="BD29" i="20" a="1"/>
  <c r="BD31" i="20" a="1"/>
  <c r="BD28" i="20" a="1"/>
  <c r="BA31" i="20" a="1"/>
  <c r="BA29" i="20" a="1"/>
  <c r="BA28" i="20" a="1"/>
  <c r="BA30" i="20" a="1"/>
  <c r="AY30" i="20" a="1"/>
  <c r="AY29" i="20" a="1"/>
  <c r="AY31" i="20" a="1"/>
  <c r="AY28" i="20" a="1"/>
  <c r="AZ30" i="20" a="1"/>
  <c r="AZ29" i="20" a="1"/>
  <c r="AZ31" i="20" a="1"/>
  <c r="AZ28" i="20" a="1"/>
  <c r="AV29" i="20" a="1"/>
  <c r="AV31" i="20" a="1"/>
  <c r="AV28" i="20" a="1"/>
  <c r="AV30" i="20" a="1"/>
  <c r="AX29" i="20" a="1"/>
  <c r="AX31" i="20" a="1"/>
  <c r="AX28" i="20" a="1"/>
  <c r="AX30" i="20" a="1"/>
  <c r="AW29" i="20" a="1"/>
  <c r="AW31" i="20" a="1"/>
  <c r="AW28" i="20" a="1"/>
  <c r="AW30" i="20" a="1"/>
  <c r="AQ28" i="20" a="1"/>
  <c r="AQ31" i="20" a="1"/>
  <c r="AQ30" i="20" a="1"/>
  <c r="AQ29" i="20" a="1"/>
  <c r="AR28" i="20" a="1"/>
  <c r="AR31" i="20" a="1"/>
  <c r="AR30" i="20" a="1"/>
  <c r="AR29" i="20" a="1"/>
  <c r="AS29" i="20" a="1"/>
  <c r="AS28" i="20" a="1"/>
  <c r="AS31" i="20" a="1"/>
  <c r="AS30" i="20" a="1"/>
  <c r="AP30" i="20" a="1"/>
  <c r="AP31" i="20" a="1"/>
  <c r="AP29" i="20" a="1"/>
  <c r="AP28" i="20" a="1"/>
  <c r="AU30" i="20" a="1"/>
  <c r="AU29" i="20" a="1"/>
  <c r="AU28" i="20" a="1"/>
  <c r="AU31" i="20" a="1"/>
  <c r="AT29" i="20" a="1"/>
  <c r="AT28" i="20" a="1"/>
  <c r="AT31" i="20" a="1"/>
  <c r="AT30" i="20" a="1"/>
  <c r="AJ31" i="20" a="1"/>
  <c r="AJ30" i="20" a="1"/>
  <c r="AJ29" i="20" a="1"/>
  <c r="AJ28" i="20" a="1"/>
  <c r="AK28" i="20" a="1"/>
  <c r="AK31" i="20" a="1"/>
  <c r="AK30" i="20" a="1"/>
  <c r="AK29" i="20" a="1"/>
  <c r="AL31" i="20" a="1"/>
  <c r="AL28" i="20" a="1"/>
  <c r="AL30" i="20" a="1"/>
  <c r="AL29" i="20" a="1"/>
  <c r="AO30" i="20" a="1"/>
  <c r="AO29" i="20" a="1"/>
  <c r="AO28" i="20" a="1"/>
  <c r="AO31" i="20" a="1"/>
  <c r="AM29" i="20" a="1"/>
  <c r="AM28" i="20" a="1"/>
  <c r="AM31" i="20" a="1"/>
  <c r="AM30" i="20" a="1"/>
  <c r="AN29" i="20" a="1"/>
  <c r="AN28" i="20" a="1"/>
  <c r="AN31" i="20" a="1"/>
  <c r="AN30" i="20" a="1"/>
  <c r="AG29" i="20" a="1"/>
  <c r="AG31" i="20" a="1"/>
  <c r="AG30" i="20" a="1"/>
  <c r="AG28" i="20" a="1"/>
  <c r="AH30" i="20" a="1"/>
  <c r="AH29" i="20" a="1"/>
  <c r="AH31" i="20" a="1"/>
  <c r="AH28" i="20" a="1"/>
  <c r="AI30" i="20" a="1"/>
  <c r="AI28" i="20" a="1"/>
  <c r="AI29" i="20" a="1"/>
  <c r="AI31" i="20" a="1"/>
  <c r="AE29" i="20" a="1"/>
  <c r="AE31" i="20" a="1"/>
  <c r="AE28" i="20" a="1"/>
  <c r="AE30" i="20" a="1"/>
  <c r="AF29" i="20" a="1"/>
  <c r="AF31" i="20" a="1"/>
  <c r="AF28" i="20" a="1"/>
  <c r="AF30" i="20" a="1"/>
  <c r="AC30" i="20" a="1"/>
  <c r="AC29" i="20" a="1"/>
  <c r="AC31" i="20" a="1"/>
  <c r="AC28" i="20" a="1"/>
  <c r="AD30" i="20" a="1"/>
  <c r="AD29" i="20" a="1"/>
  <c r="AD31" i="20" a="1"/>
  <c r="AD28" i="20" a="1"/>
  <c r="Z31" i="20" a="1"/>
  <c r="Z29" i="20" a="1"/>
  <c r="Z28" i="20" a="1"/>
  <c r="Z30" i="20" a="1"/>
  <c r="AB29" i="20" a="1"/>
  <c r="AB31" i="20" a="1"/>
  <c r="AB28" i="20" a="1"/>
  <c r="AB30" i="20" a="1"/>
  <c r="AA29" i="20" a="1"/>
  <c r="AA31" i="20" a="1"/>
  <c r="AA30" i="20" a="1"/>
  <c r="AA28" i="20" a="1"/>
  <c r="T30" i="20" a="1"/>
  <c r="T31" i="20" a="1"/>
  <c r="T29" i="20" a="1"/>
  <c r="T28" i="20" a="1"/>
  <c r="U28" i="20" a="1"/>
  <c r="U30" i="20" a="1"/>
  <c r="U31" i="20" a="1"/>
  <c r="U29" i="20" a="1"/>
  <c r="V28" i="20" a="1"/>
  <c r="V31" i="20" a="1"/>
  <c r="V30" i="20" a="1"/>
  <c r="V29" i="20" a="1"/>
  <c r="W28" i="20" a="1"/>
  <c r="W29" i="20" a="1"/>
  <c r="W31" i="20" a="1"/>
  <c r="W30" i="20" a="1"/>
  <c r="X29" i="20" a="1"/>
  <c r="X31" i="20" a="1"/>
  <c r="X28" i="20" a="1"/>
  <c r="X30" i="20" a="1"/>
  <c r="Y29" i="20" a="1"/>
  <c r="Y30" i="20" a="1"/>
  <c r="Y28" i="20" a="1"/>
  <c r="Y31" i="20" a="1"/>
  <c r="S31" i="20" a="1"/>
  <c r="S30" i="20" a="1"/>
  <c r="S29" i="20" a="1"/>
  <c r="S28" i="20" a="1"/>
  <c r="N31" i="20" a="1"/>
  <c r="N28" i="20" a="1"/>
  <c r="N29" i="20" a="1"/>
  <c r="N30" i="20" a="1"/>
  <c r="R30" i="20" a="1"/>
  <c r="R29" i="20" a="1"/>
  <c r="R31" i="20" a="1"/>
  <c r="R28" i="20" a="1"/>
  <c r="P29" i="20" a="1"/>
  <c r="P31" i="20" a="1"/>
  <c r="P28" i="20" a="1"/>
  <c r="P30" i="20" a="1"/>
  <c r="Q29" i="20" a="1"/>
  <c r="Q30" i="20" a="1"/>
  <c r="Q31" i="20" a="1"/>
  <c r="Q28" i="20" a="1"/>
  <c r="O31" i="20" a="1"/>
  <c r="O29" i="20" a="1"/>
  <c r="O30" i="20" a="1"/>
  <c r="O28" i="20" a="1"/>
  <c r="K29" i="20" a="1"/>
  <c r="K31" i="20" a="1"/>
  <c r="K28" i="20" a="1"/>
  <c r="K30" i="20" a="1"/>
  <c r="L30" i="20" a="1"/>
  <c r="L29" i="20" a="1"/>
  <c r="L28" i="20" a="1"/>
  <c r="L31" i="20" a="1"/>
  <c r="M30" i="20" a="1"/>
  <c r="M29" i="20" a="1"/>
  <c r="M31" i="20" a="1"/>
  <c r="M28" i="20" a="1"/>
  <c r="I29" i="20" a="1"/>
  <c r="I31" i="20" a="1"/>
  <c r="I28" i="20" a="1"/>
  <c r="I30" i="20" a="1"/>
  <c r="J28" i="20" a="1"/>
  <c r="J29" i="20" a="1"/>
  <c r="J31" i="20" a="1"/>
  <c r="J30" i="20" a="1"/>
  <c r="E29" i="20" a="1"/>
  <c r="E30" i="20" a="1"/>
  <c r="E31" i="20" a="1"/>
  <c r="E28" i="20" a="1"/>
  <c r="D30" i="20" a="1"/>
  <c r="D31" i="20" a="1"/>
  <c r="D28" i="20" a="1"/>
  <c r="D29" i="20" a="1"/>
  <c r="H28" i="20" a="1"/>
  <c r="H29" i="20" a="1"/>
  <c r="H31" i="20" a="1"/>
  <c r="H30" i="20" a="1"/>
  <c r="G28" i="20" a="1"/>
  <c r="G29" i="20" a="1"/>
  <c r="G30" i="20" a="1"/>
  <c r="G31" i="20" a="1"/>
  <c r="F29" i="20" a="1"/>
  <c r="F30" i="20" a="1"/>
  <c r="F28" i="20" a="1"/>
  <c r="F31" i="20" a="1"/>
  <c r="W29" i="18" a="1"/>
  <c r="W31" i="18" a="1"/>
  <c r="W28" i="18" a="1"/>
  <c r="W30" i="18" a="1"/>
  <c r="X30" i="18" a="1"/>
  <c r="X29" i="18" a="1"/>
  <c r="X31" i="18" a="1"/>
  <c r="X28" i="18" a="1"/>
  <c r="Y30" i="18" a="1"/>
  <c r="Y29" i="18" a="1"/>
  <c r="Y31" i="18" a="1"/>
  <c r="Y28" i="18" a="1"/>
  <c r="U31" i="18" a="1"/>
  <c r="U28" i="18" a="1"/>
  <c r="U29" i="18" a="1"/>
  <c r="U30" i="18" a="1"/>
  <c r="V29" i="18" a="1"/>
  <c r="V31" i="18" a="1"/>
  <c r="V28" i="18" a="1"/>
  <c r="V30" i="18" a="1"/>
  <c r="S31" i="18" a="1"/>
  <c r="S29" i="18" a="1"/>
  <c r="S28" i="18" a="1"/>
  <c r="S30" i="18" a="1"/>
  <c r="T28" i="18" a="1"/>
  <c r="T30" i="18" a="1"/>
  <c r="T29" i="18" a="1"/>
  <c r="T31" i="18" a="1"/>
  <c r="R31" i="18" a="1"/>
  <c r="R28" i="18" a="1"/>
  <c r="R29" i="18" a="1"/>
  <c r="R30" i="18" a="1"/>
  <c r="P28" i="18" a="1"/>
  <c r="P30" i="18" a="1"/>
  <c r="P29" i="18" a="1"/>
  <c r="P31" i="18" a="1"/>
  <c r="Q31" i="18" a="1"/>
  <c r="Q28" i="18" a="1"/>
  <c r="Q30" i="18" a="1"/>
  <c r="Q29" i="18" a="1"/>
  <c r="X30" i="17" a="1"/>
  <c r="X29" i="17" a="1"/>
  <c r="Y31" i="17" a="1"/>
  <c r="Y29" i="17" a="1"/>
  <c r="Y30" i="17" a="1"/>
  <c r="Z28" i="17" a="1"/>
  <c r="Z31" i="17" a="1"/>
  <c r="Z29" i="17" a="1"/>
  <c r="Z30" i="17" a="1"/>
  <c r="AA31" i="17" a="1"/>
  <c r="Y28" i="17" a="1"/>
  <c r="AA30" i="17" a="1"/>
  <c r="AA29" i="17" a="1"/>
  <c r="X31" i="17" a="1"/>
  <c r="X28" i="17" a="1"/>
  <c r="AA28" i="17" a="1"/>
  <c r="W31" i="17" a="1"/>
  <c r="W30" i="17" a="1"/>
  <c r="W29" i="17" a="1"/>
  <c r="W28" i="17" a="1"/>
  <c r="V29" i="17" a="1"/>
  <c r="V31" i="17" a="1"/>
  <c r="V28" i="17" a="1"/>
  <c r="V30" i="17" a="1"/>
  <c r="U28" i="17" a="1"/>
  <c r="U29" i="17" a="1"/>
  <c r="U30" i="17" a="1"/>
  <c r="U31" i="17" a="1"/>
  <c r="T29" i="17" a="1"/>
  <c r="T30" i="17" a="1"/>
  <c r="S31" i="17" a="1"/>
  <c r="R31" i="17" a="1"/>
  <c r="T28" i="17" a="1"/>
  <c r="T31" i="17" a="1"/>
  <c r="S29" i="17" a="1"/>
  <c r="S28" i="17" a="1"/>
  <c r="S30" i="17" a="1"/>
  <c r="R28" i="17" a="1"/>
  <c r="R30" i="17" a="1"/>
  <c r="R29" i="17" a="1"/>
  <c r="Q28" i="17" a="1"/>
  <c r="Q29" i="17" a="1"/>
  <c r="Q31" i="17" a="1"/>
  <c r="Q30" i="17" a="1"/>
  <c r="P29" i="17" a="1"/>
  <c r="P28" i="17" a="1"/>
  <c r="P31" i="17" a="1"/>
  <c r="P30" i="17" a="1"/>
  <c r="O31" i="17" a="1"/>
  <c r="O28" i="17" a="1"/>
  <c r="O30" i="17" a="1"/>
  <c r="O29" i="17" a="1"/>
  <c r="M29" i="17" a="1"/>
  <c r="M31" i="17" a="1"/>
  <c r="M28" i="17" a="1"/>
  <c r="M30" i="17" a="1"/>
  <c r="L31" i="17" a="1"/>
  <c r="L29" i="17" a="1"/>
  <c r="N31" i="17" a="1"/>
  <c r="N30" i="17" a="1"/>
  <c r="L28" i="17" a="1"/>
  <c r="N29" i="17" a="1"/>
  <c r="L30" i="17" a="1"/>
  <c r="N28" i="17" a="1"/>
  <c r="K28" i="17" a="1"/>
  <c r="K31" i="17" a="1"/>
  <c r="K30" i="17" a="1"/>
  <c r="K29" i="17" a="1"/>
  <c r="J30" i="17" a="1"/>
  <c r="J31" i="17" a="1"/>
  <c r="J28" i="17" a="1"/>
  <c r="J29" i="17" a="1"/>
  <c r="AF31" i="13" a="1"/>
  <c r="AF29" i="13" a="1"/>
  <c r="AF30" i="13" a="1"/>
  <c r="AF28" i="13" a="1"/>
  <c r="AG30" i="13" a="1"/>
  <c r="AG29" i="13" a="1"/>
  <c r="AG31" i="13" a="1"/>
  <c r="AG28" i="13" a="1"/>
  <c r="AH28" i="13" a="1"/>
  <c r="AH30" i="13" a="1"/>
  <c r="AH31" i="13" a="1"/>
  <c r="AH29" i="13" a="1"/>
  <c r="AI28" i="13" a="1"/>
  <c r="AI30" i="13" a="1"/>
  <c r="AI29" i="13" a="1"/>
  <c r="AI31" i="13" a="1"/>
  <c r="AP28" i="8" a="1"/>
  <c r="AP30" i="8" a="1"/>
  <c r="AP29" i="8" a="1"/>
  <c r="AP31" i="8" a="1"/>
  <c r="AQ28" i="8" a="1"/>
  <c r="AQ30" i="8" a="1"/>
  <c r="AQ29" i="8" a="1"/>
  <c r="AQ31" i="8" a="1"/>
  <c r="AR28" i="8" a="1"/>
  <c r="AR30" i="8" a="1"/>
  <c r="AR29" i="8" a="1"/>
  <c r="AR31" i="8" a="1"/>
  <c r="AS28" i="8" a="1"/>
  <c r="AS30" i="8" a="1"/>
  <c r="AS29" i="8" a="1"/>
  <c r="AS31" i="8" a="1"/>
  <c r="E26" i="16" a="1"/>
  <c r="E27" i="16" a="1"/>
  <c r="E26" i="14" a="1"/>
  <c r="E27" i="14" a="1"/>
  <c r="AI31" i="13" l="1"/>
  <c r="AI29" i="13"/>
  <c r="AI30" i="13"/>
  <c r="AI28" i="13"/>
  <c r="AH29" i="13"/>
  <c r="AH34" i="13" s="1"/>
  <c r="AH31" i="13"/>
  <c r="AH30" i="13"/>
  <c r="AH28" i="13"/>
  <c r="AG28" i="13"/>
  <c r="AG31" i="13"/>
  <c r="AG29" i="13"/>
  <c r="AG30" i="13"/>
  <c r="AF28" i="13"/>
  <c r="AF30" i="13"/>
  <c r="AF29" i="13"/>
  <c r="AF34" i="13" s="1"/>
  <c r="AF31" i="13"/>
  <c r="AS31" i="8"/>
  <c r="AS29" i="8"/>
  <c r="AS30" i="8"/>
  <c r="AS28" i="8"/>
  <c r="AR31" i="8"/>
  <c r="AR29" i="8"/>
  <c r="AR34" i="8" s="1"/>
  <c r="AR30" i="8"/>
  <c r="AR28" i="8"/>
  <c r="AQ31" i="8"/>
  <c r="AQ29" i="8"/>
  <c r="AQ30" i="8"/>
  <c r="AQ28" i="8"/>
  <c r="AP31" i="8"/>
  <c r="AP29" i="8"/>
  <c r="AP34" i="8" s="1"/>
  <c r="AP30" i="8"/>
  <c r="AP28" i="8"/>
  <c r="BP28" i="18"/>
  <c r="BP30" i="18"/>
  <c r="BP29" i="18"/>
  <c r="BP31" i="18"/>
  <c r="BK31" i="18"/>
  <c r="BK29" i="18"/>
  <c r="BK30" i="18"/>
  <c r="BK28" i="18"/>
  <c r="BI30" i="18"/>
  <c r="BI29" i="18"/>
  <c r="BI31" i="18"/>
  <c r="BI28" i="18"/>
  <c r="BM30" i="18"/>
  <c r="BM28" i="18"/>
  <c r="BM29" i="18"/>
  <c r="BM34" i="18" s="1"/>
  <c r="BM31" i="18"/>
  <c r="BD28" i="18"/>
  <c r="BD29" i="18"/>
  <c r="BD31" i="18"/>
  <c r="BD30" i="18"/>
  <c r="BH30" i="18"/>
  <c r="BH29" i="18"/>
  <c r="BH28" i="18"/>
  <c r="BH31" i="18"/>
  <c r="AZ30" i="18"/>
  <c r="AZ31" i="18"/>
  <c r="AZ28" i="18"/>
  <c r="AZ29" i="18"/>
  <c r="BN29" i="18"/>
  <c r="BN30" i="18"/>
  <c r="BN28" i="18"/>
  <c r="BN31" i="18"/>
  <c r="BQ30" i="18"/>
  <c r="BQ31" i="18"/>
  <c r="BQ29" i="18"/>
  <c r="BQ28" i="18"/>
  <c r="BC31" i="18"/>
  <c r="BC28" i="18"/>
  <c r="BC29" i="18"/>
  <c r="BC30" i="18"/>
  <c r="BA30" i="18"/>
  <c r="BA29" i="18"/>
  <c r="BA31" i="18"/>
  <c r="BA28" i="18"/>
  <c r="BO29" i="18"/>
  <c r="BO31" i="18"/>
  <c r="BO30" i="18"/>
  <c r="BO28" i="18"/>
  <c r="BE28" i="18"/>
  <c r="BE29" i="18"/>
  <c r="BE30" i="18"/>
  <c r="BE31" i="18"/>
  <c r="AX29" i="18"/>
  <c r="AX30" i="18"/>
  <c r="AX28" i="18"/>
  <c r="AX31" i="18"/>
  <c r="AV28" i="18"/>
  <c r="AV31" i="18"/>
  <c r="AV29" i="18"/>
  <c r="AV30" i="18"/>
  <c r="BG29" i="18"/>
  <c r="BG30" i="18"/>
  <c r="BG31" i="18"/>
  <c r="BG28" i="18"/>
  <c r="BF28" i="18"/>
  <c r="BF29" i="18"/>
  <c r="BF30" i="18"/>
  <c r="BF31" i="18"/>
  <c r="AW28" i="18"/>
  <c r="AW30" i="18"/>
  <c r="AW29" i="18"/>
  <c r="AW31" i="18"/>
  <c r="BJ30" i="18"/>
  <c r="BJ31" i="18"/>
  <c r="BJ28" i="18"/>
  <c r="BJ29" i="18"/>
  <c r="BL28" i="18"/>
  <c r="BL31" i="18"/>
  <c r="BL29" i="18"/>
  <c r="BL30" i="18"/>
  <c r="BB30" i="18"/>
  <c r="BB31" i="18"/>
  <c r="BB29" i="18"/>
  <c r="BB28" i="18"/>
  <c r="AY28" i="18"/>
  <c r="AY29" i="18"/>
  <c r="AY31" i="18"/>
  <c r="AY30" i="18"/>
  <c r="AF30" i="18"/>
  <c r="AF28" i="18"/>
  <c r="AF31" i="18"/>
  <c r="AF29" i="18"/>
  <c r="AL30" i="18"/>
  <c r="AL31" i="18"/>
  <c r="AL29" i="18"/>
  <c r="AL28" i="18"/>
  <c r="AR29" i="18"/>
  <c r="AR30" i="18"/>
  <c r="AR31" i="18"/>
  <c r="AR28" i="18"/>
  <c r="AI28" i="18"/>
  <c r="AI29" i="18"/>
  <c r="AI30" i="18"/>
  <c r="AI31" i="18"/>
  <c r="AS29" i="18"/>
  <c r="AS28" i="18"/>
  <c r="AS30" i="18"/>
  <c r="AS31" i="18"/>
  <c r="AT29" i="18"/>
  <c r="AT30" i="18"/>
  <c r="AT31" i="18"/>
  <c r="AT28" i="18"/>
  <c r="AO30" i="18"/>
  <c r="AO31" i="18"/>
  <c r="AO28" i="18"/>
  <c r="AO29" i="18"/>
  <c r="AD30" i="18"/>
  <c r="AD31" i="18"/>
  <c r="AD29" i="18"/>
  <c r="AD28" i="18"/>
  <c r="AK29" i="18"/>
  <c r="AK30" i="18"/>
  <c r="AK28" i="18"/>
  <c r="AK31" i="18"/>
  <c r="AN31" i="18"/>
  <c r="AN28" i="18"/>
  <c r="AN30" i="18"/>
  <c r="AN29" i="18"/>
  <c r="AJ29" i="18"/>
  <c r="AJ28" i="18"/>
  <c r="AJ30" i="18"/>
  <c r="AJ31" i="18"/>
  <c r="AC29" i="18"/>
  <c r="AC30" i="18"/>
  <c r="AC28" i="18"/>
  <c r="AC31" i="18"/>
  <c r="AU30" i="18"/>
  <c r="AU31" i="18"/>
  <c r="AU29" i="18"/>
  <c r="AU28" i="18"/>
  <c r="AG31" i="18"/>
  <c r="AG28" i="18"/>
  <c r="AG29" i="18"/>
  <c r="AG30" i="18"/>
  <c r="AM30" i="18"/>
  <c r="AM31" i="18"/>
  <c r="AM28" i="18"/>
  <c r="AM29" i="18"/>
  <c r="AE30" i="18"/>
  <c r="AE31" i="18"/>
  <c r="AE28" i="18"/>
  <c r="AE29" i="18"/>
  <c r="AB30" i="18"/>
  <c r="AB28" i="18"/>
  <c r="AB29" i="18"/>
  <c r="AB31" i="18"/>
  <c r="AH28" i="18"/>
  <c r="AH29" i="18"/>
  <c r="AH31" i="18"/>
  <c r="AH30" i="18"/>
  <c r="AA28" i="18"/>
  <c r="AA31" i="18"/>
  <c r="AA29" i="18"/>
  <c r="AA30" i="18"/>
  <c r="AQ28" i="18"/>
  <c r="AQ29" i="18"/>
  <c r="AQ30" i="18"/>
  <c r="AQ31" i="18"/>
  <c r="Z31" i="18"/>
  <c r="Z28" i="18"/>
  <c r="Z29" i="18"/>
  <c r="Z30" i="18"/>
  <c r="AP29" i="18"/>
  <c r="AP28" i="18"/>
  <c r="AP30" i="18"/>
  <c r="AP31" i="18"/>
  <c r="AL30" i="17"/>
  <c r="AL31" i="17"/>
  <c r="AL29" i="17"/>
  <c r="AL28" i="17"/>
  <c r="AM31" i="17"/>
  <c r="AM28" i="17"/>
  <c r="AM29" i="17"/>
  <c r="AM30" i="17"/>
  <c r="AK30" i="17"/>
  <c r="AK31" i="17"/>
  <c r="AK28" i="17"/>
  <c r="AK29" i="17"/>
  <c r="AI29" i="17"/>
  <c r="AI30" i="17"/>
  <c r="AI31" i="17"/>
  <c r="AI28" i="17"/>
  <c r="AH28" i="17"/>
  <c r="AH29" i="17"/>
  <c r="AH30" i="17"/>
  <c r="AH31" i="17"/>
  <c r="AJ29" i="17"/>
  <c r="AJ30" i="17"/>
  <c r="AJ28" i="17"/>
  <c r="AJ31" i="17"/>
  <c r="AF30" i="17"/>
  <c r="AF31" i="17"/>
  <c r="AF28" i="17"/>
  <c r="AF29" i="17"/>
  <c r="AE30" i="17"/>
  <c r="AE31" i="17"/>
  <c r="AE29" i="17"/>
  <c r="AE28" i="17"/>
  <c r="AB31" i="17"/>
  <c r="AB28" i="17"/>
  <c r="AB29" i="17"/>
  <c r="AB34" i="17" s="1"/>
  <c r="AB30" i="17"/>
  <c r="AC29" i="17"/>
  <c r="AC30" i="17"/>
  <c r="AC28" i="17"/>
  <c r="AC31" i="17"/>
  <c r="AG31" i="17"/>
  <c r="AG28" i="17"/>
  <c r="AG29" i="17"/>
  <c r="AG30" i="17"/>
  <c r="AD28" i="17"/>
  <c r="AD30" i="17"/>
  <c r="AD31" i="17"/>
  <c r="AD29" i="17"/>
  <c r="AA28" i="19"/>
  <c r="AA31" i="19"/>
  <c r="AA29" i="19"/>
  <c r="AA30" i="19"/>
  <c r="Z30" i="19"/>
  <c r="Z29" i="19"/>
  <c r="Z31" i="19"/>
  <c r="Z28" i="19"/>
  <c r="Y30" i="19"/>
  <c r="Y31" i="19"/>
  <c r="Y28" i="19"/>
  <c r="Y29" i="19"/>
  <c r="W29" i="19"/>
  <c r="W28" i="19"/>
  <c r="W30" i="19"/>
  <c r="W31" i="19"/>
  <c r="X29" i="19"/>
  <c r="X30" i="19"/>
  <c r="X28" i="19"/>
  <c r="X31" i="19"/>
  <c r="V28" i="19"/>
  <c r="V29" i="19"/>
  <c r="V30" i="19"/>
  <c r="V31" i="19"/>
  <c r="T30" i="19"/>
  <c r="T28" i="19"/>
  <c r="T31" i="19"/>
  <c r="T29" i="19"/>
  <c r="P28" i="19"/>
  <c r="P30" i="19"/>
  <c r="P29" i="19"/>
  <c r="P31" i="19"/>
  <c r="U29" i="19"/>
  <c r="U31" i="19"/>
  <c r="U28" i="19"/>
  <c r="U30" i="19"/>
  <c r="S30" i="19"/>
  <c r="S28" i="19"/>
  <c r="S31" i="19"/>
  <c r="S29" i="19"/>
  <c r="R29" i="19"/>
  <c r="R31" i="19"/>
  <c r="R30" i="19"/>
  <c r="R28" i="19"/>
  <c r="Q29" i="19"/>
  <c r="Q31" i="19"/>
  <c r="Q30" i="19"/>
  <c r="Q28" i="19"/>
  <c r="N30" i="19"/>
  <c r="N31" i="19"/>
  <c r="N28" i="19"/>
  <c r="N29" i="19"/>
  <c r="J28" i="19"/>
  <c r="J29" i="19"/>
  <c r="J31" i="19"/>
  <c r="J30" i="19"/>
  <c r="O31" i="19"/>
  <c r="O28" i="19"/>
  <c r="O29" i="19"/>
  <c r="O30" i="19"/>
  <c r="M28" i="19"/>
  <c r="M29" i="19"/>
  <c r="M30" i="19"/>
  <c r="M31" i="19"/>
  <c r="K29" i="19"/>
  <c r="K30" i="19"/>
  <c r="K28" i="19"/>
  <c r="K31" i="19"/>
  <c r="L29" i="19"/>
  <c r="L30" i="19"/>
  <c r="L31" i="19"/>
  <c r="L28" i="19"/>
  <c r="E30" i="19"/>
  <c r="E28" i="19"/>
  <c r="E29" i="19"/>
  <c r="E31" i="19"/>
  <c r="H29" i="19"/>
  <c r="H30" i="19"/>
  <c r="H31" i="19"/>
  <c r="H28" i="19"/>
  <c r="F28" i="19"/>
  <c r="F29" i="19"/>
  <c r="F30" i="19"/>
  <c r="F31" i="19"/>
  <c r="G29" i="19"/>
  <c r="G30" i="19"/>
  <c r="G31" i="19"/>
  <c r="G28" i="19"/>
  <c r="D31" i="19"/>
  <c r="D28" i="19"/>
  <c r="D29" i="19"/>
  <c r="D30" i="19"/>
  <c r="I28" i="19"/>
  <c r="I30" i="19"/>
  <c r="I31" i="19"/>
  <c r="I29" i="19"/>
  <c r="BA30" i="20"/>
  <c r="BA28" i="20"/>
  <c r="BA29" i="20"/>
  <c r="BA31" i="20"/>
  <c r="BD28" i="20"/>
  <c r="BD31" i="20"/>
  <c r="BD29" i="20"/>
  <c r="BD30" i="20"/>
  <c r="BB30" i="20"/>
  <c r="BB28" i="20"/>
  <c r="BB29" i="20"/>
  <c r="BB31" i="20"/>
  <c r="BE31" i="20"/>
  <c r="BE29" i="20"/>
  <c r="BE30" i="20"/>
  <c r="BE28" i="20"/>
  <c r="BC28" i="20"/>
  <c r="BC29" i="20"/>
  <c r="BC31" i="20"/>
  <c r="BC30" i="20"/>
  <c r="AW30" i="20"/>
  <c r="AW28" i="20"/>
  <c r="AW31" i="20"/>
  <c r="AW29" i="20"/>
  <c r="AX30" i="20"/>
  <c r="AX28" i="20"/>
  <c r="AX31" i="20"/>
  <c r="AX29" i="20"/>
  <c r="AV30" i="20"/>
  <c r="AV28" i="20"/>
  <c r="AV31" i="20"/>
  <c r="AV29" i="20"/>
  <c r="AZ28" i="20"/>
  <c r="AZ31" i="20"/>
  <c r="AZ29" i="20"/>
  <c r="AZ30" i="20"/>
  <c r="AY28" i="20"/>
  <c r="AY31" i="20"/>
  <c r="AY29" i="20"/>
  <c r="AY30" i="20"/>
  <c r="AT30" i="20"/>
  <c r="AT31" i="20"/>
  <c r="AT28" i="20"/>
  <c r="AT29" i="20"/>
  <c r="AU31" i="20"/>
  <c r="AU28" i="20"/>
  <c r="AU29" i="20"/>
  <c r="AU30" i="20"/>
  <c r="AP28" i="20"/>
  <c r="AP29" i="20"/>
  <c r="AP31" i="20"/>
  <c r="AP30" i="20"/>
  <c r="AS30" i="20"/>
  <c r="AS31" i="20"/>
  <c r="AS28" i="20"/>
  <c r="AS29" i="20"/>
  <c r="AR29" i="20"/>
  <c r="AR30" i="20"/>
  <c r="AR31" i="20"/>
  <c r="AR28" i="20"/>
  <c r="AQ29" i="20"/>
  <c r="AQ30" i="20"/>
  <c r="AQ31" i="20"/>
  <c r="AQ28" i="20"/>
  <c r="AN30" i="20"/>
  <c r="AN31" i="20"/>
  <c r="AN28" i="20"/>
  <c r="AN29" i="20"/>
  <c r="AM30" i="20"/>
  <c r="AM31" i="20"/>
  <c r="AM28" i="20"/>
  <c r="AM29" i="20"/>
  <c r="AO31" i="20"/>
  <c r="AO28" i="20"/>
  <c r="AO29" i="20"/>
  <c r="AO30" i="20"/>
  <c r="AL29" i="20"/>
  <c r="AL30" i="20"/>
  <c r="AL28" i="20"/>
  <c r="AL31" i="20"/>
  <c r="AK29" i="20"/>
  <c r="AK30" i="20"/>
  <c r="AK31" i="20"/>
  <c r="AK28" i="20"/>
  <c r="AJ28" i="20"/>
  <c r="AJ29" i="20"/>
  <c r="AJ30" i="20"/>
  <c r="AJ31" i="20"/>
  <c r="AF30" i="20"/>
  <c r="AF28" i="20"/>
  <c r="AF31" i="20"/>
  <c r="AF29" i="20"/>
  <c r="AE30" i="20"/>
  <c r="AE28" i="20"/>
  <c r="AE31" i="20"/>
  <c r="AE29" i="20"/>
  <c r="AI31" i="20"/>
  <c r="AI29" i="20"/>
  <c r="AI28" i="20"/>
  <c r="AI30" i="20"/>
  <c r="AH28" i="20"/>
  <c r="AH31" i="20"/>
  <c r="AH29" i="20"/>
  <c r="AH30" i="20"/>
  <c r="AG28" i="20"/>
  <c r="AG30" i="20"/>
  <c r="AG31" i="20"/>
  <c r="AG29" i="20"/>
  <c r="AA28" i="20"/>
  <c r="AA30" i="20"/>
  <c r="AA31" i="20"/>
  <c r="AA29" i="20"/>
  <c r="AB30" i="20"/>
  <c r="AB28" i="20"/>
  <c r="AB31" i="20"/>
  <c r="AB29" i="20"/>
  <c r="Z30" i="20"/>
  <c r="Z28" i="20"/>
  <c r="Z29" i="20"/>
  <c r="Z31" i="20"/>
  <c r="AD28" i="20"/>
  <c r="AD31" i="20"/>
  <c r="AD29" i="20"/>
  <c r="AD30" i="20"/>
  <c r="AC28" i="20"/>
  <c r="AC31" i="20"/>
  <c r="AC29" i="20"/>
  <c r="AC30" i="20"/>
  <c r="Y31" i="20"/>
  <c r="Y28" i="20"/>
  <c r="Y30" i="20"/>
  <c r="Y29" i="20"/>
  <c r="X30" i="20"/>
  <c r="X28" i="20"/>
  <c r="X31" i="20"/>
  <c r="X29" i="20"/>
  <c r="W30" i="20"/>
  <c r="W31" i="20"/>
  <c r="W29" i="20"/>
  <c r="W28" i="20"/>
  <c r="V29" i="20"/>
  <c r="V30" i="20"/>
  <c r="V31" i="20"/>
  <c r="V28" i="20"/>
  <c r="U29" i="20"/>
  <c r="U31" i="20"/>
  <c r="U30" i="20"/>
  <c r="U28" i="20"/>
  <c r="T28" i="20"/>
  <c r="T29" i="20"/>
  <c r="T31" i="20"/>
  <c r="T30" i="20"/>
  <c r="S28" i="20"/>
  <c r="S29" i="20"/>
  <c r="S30" i="20"/>
  <c r="S31" i="20"/>
  <c r="O28" i="20"/>
  <c r="O30" i="20"/>
  <c r="O29" i="20"/>
  <c r="O31" i="20"/>
  <c r="Q28" i="20"/>
  <c r="Q31" i="20"/>
  <c r="Q30" i="20"/>
  <c r="Q29" i="20"/>
  <c r="P30" i="20"/>
  <c r="P28" i="20"/>
  <c r="P31" i="20"/>
  <c r="P29" i="20"/>
  <c r="R28" i="20"/>
  <c r="R31" i="20"/>
  <c r="R29" i="20"/>
  <c r="R30" i="20"/>
  <c r="N30" i="20"/>
  <c r="N29" i="20"/>
  <c r="N34" i="20" s="1"/>
  <c r="N28" i="20"/>
  <c r="N31" i="20"/>
  <c r="J30" i="20"/>
  <c r="J31" i="20"/>
  <c r="J29" i="20"/>
  <c r="J28" i="20"/>
  <c r="I30" i="20"/>
  <c r="I28" i="20"/>
  <c r="I31" i="20"/>
  <c r="I29" i="20"/>
  <c r="M28" i="20"/>
  <c r="M31" i="20"/>
  <c r="M29" i="20"/>
  <c r="M30" i="20"/>
  <c r="L31" i="20"/>
  <c r="L28" i="20"/>
  <c r="L29" i="20"/>
  <c r="L30" i="20"/>
  <c r="K30" i="20"/>
  <c r="K28" i="20"/>
  <c r="K31" i="20"/>
  <c r="K29" i="20"/>
  <c r="F31" i="20"/>
  <c r="F28" i="20"/>
  <c r="F30" i="20"/>
  <c r="F29" i="20"/>
  <c r="G31" i="20"/>
  <c r="G30" i="20"/>
  <c r="G29" i="20"/>
  <c r="G28" i="20"/>
  <c r="H30" i="20"/>
  <c r="H31" i="20"/>
  <c r="H29" i="20"/>
  <c r="H28" i="20"/>
  <c r="D29" i="20"/>
  <c r="D28" i="20"/>
  <c r="D31" i="20"/>
  <c r="D30" i="20"/>
  <c r="E28" i="20"/>
  <c r="E31" i="20"/>
  <c r="E30" i="20"/>
  <c r="E29" i="20"/>
  <c r="V30" i="18"/>
  <c r="V28" i="18"/>
  <c r="V31" i="18"/>
  <c r="V29" i="18"/>
  <c r="U30" i="18"/>
  <c r="U29" i="18"/>
  <c r="U28" i="18"/>
  <c r="U31" i="18"/>
  <c r="Y28" i="18"/>
  <c r="Y31" i="18"/>
  <c r="Y29" i="18"/>
  <c r="Y30" i="18"/>
  <c r="X28" i="18"/>
  <c r="X31" i="18"/>
  <c r="X29" i="18"/>
  <c r="X30" i="18"/>
  <c r="W30" i="18"/>
  <c r="W28" i="18"/>
  <c r="W31" i="18"/>
  <c r="W29" i="18"/>
  <c r="Q29" i="18"/>
  <c r="Q30" i="18"/>
  <c r="Q28" i="18"/>
  <c r="Q31" i="18"/>
  <c r="P31" i="18"/>
  <c r="P29" i="18"/>
  <c r="P30" i="18"/>
  <c r="P28" i="18"/>
  <c r="R30" i="18"/>
  <c r="R29" i="18"/>
  <c r="R28" i="18"/>
  <c r="R31" i="18"/>
  <c r="T31" i="18"/>
  <c r="T29" i="18"/>
  <c r="T30" i="18"/>
  <c r="T28" i="18"/>
  <c r="S30" i="18"/>
  <c r="S28" i="18"/>
  <c r="S29" i="18"/>
  <c r="S31" i="18"/>
  <c r="J28" i="18"/>
  <c r="J31" i="18"/>
  <c r="J29" i="18"/>
  <c r="J30" i="18"/>
  <c r="N30" i="18"/>
  <c r="N28" i="18"/>
  <c r="N31" i="18"/>
  <c r="N29" i="18"/>
  <c r="K28" i="18"/>
  <c r="K29" i="18"/>
  <c r="K31" i="18"/>
  <c r="K30" i="18"/>
  <c r="O31" i="18"/>
  <c r="O29" i="18"/>
  <c r="O28" i="18"/>
  <c r="O30" i="18"/>
  <c r="M30" i="18"/>
  <c r="M31" i="18"/>
  <c r="M28" i="18"/>
  <c r="M29" i="18"/>
  <c r="L29" i="18"/>
  <c r="L31" i="18"/>
  <c r="L28" i="18"/>
  <c r="L30" i="18"/>
  <c r="E29" i="18"/>
  <c r="E28" i="18"/>
  <c r="E31" i="18"/>
  <c r="E30" i="18"/>
  <c r="F28" i="18"/>
  <c r="F31" i="18"/>
  <c r="F30" i="18"/>
  <c r="F29" i="18"/>
  <c r="H31" i="18"/>
  <c r="H30" i="18"/>
  <c r="H29" i="18"/>
  <c r="H28" i="18"/>
  <c r="D29" i="18"/>
  <c r="D28" i="18"/>
  <c r="D31" i="18"/>
  <c r="D30" i="18"/>
  <c r="G31" i="18"/>
  <c r="G28" i="18"/>
  <c r="G30" i="18"/>
  <c r="G29" i="18"/>
  <c r="I30" i="18"/>
  <c r="I31" i="18"/>
  <c r="I29" i="18"/>
  <c r="I28" i="18"/>
  <c r="X29" i="17"/>
  <c r="X30" i="17"/>
  <c r="X28" i="17"/>
  <c r="X31" i="17"/>
  <c r="W29" i="17"/>
  <c r="W30" i="17"/>
  <c r="W31" i="17"/>
  <c r="W28" i="17"/>
  <c r="V28" i="17"/>
  <c r="V31" i="17"/>
  <c r="V29" i="17"/>
  <c r="V30" i="17"/>
  <c r="AA31" i="17"/>
  <c r="AA28" i="17"/>
  <c r="AA29" i="17"/>
  <c r="AA30" i="17"/>
  <c r="Z30" i="17"/>
  <c r="Z29" i="17"/>
  <c r="Z31" i="17"/>
  <c r="Z28" i="17"/>
  <c r="Y30" i="17"/>
  <c r="Y31" i="17"/>
  <c r="Y28" i="17"/>
  <c r="Y29" i="17"/>
  <c r="S30" i="17"/>
  <c r="S31" i="17"/>
  <c r="S28" i="17"/>
  <c r="S29" i="17"/>
  <c r="U31" i="17"/>
  <c r="U28" i="17"/>
  <c r="U29" i="17"/>
  <c r="U30" i="17"/>
  <c r="T30" i="17"/>
  <c r="T29" i="17"/>
  <c r="T31" i="17"/>
  <c r="T28" i="17"/>
  <c r="Q29" i="17"/>
  <c r="Q31" i="17"/>
  <c r="Q28" i="17"/>
  <c r="Q30" i="17"/>
  <c r="P28" i="17"/>
  <c r="P29" i="17"/>
  <c r="P31" i="17"/>
  <c r="P30" i="17"/>
  <c r="R29" i="17"/>
  <c r="R30" i="17"/>
  <c r="R31" i="17"/>
  <c r="R28" i="17"/>
  <c r="O31" i="17"/>
  <c r="O30" i="17"/>
  <c r="O28" i="17"/>
  <c r="O29" i="17"/>
  <c r="N30" i="17"/>
  <c r="N28" i="17"/>
  <c r="N31" i="17"/>
  <c r="N29" i="17"/>
  <c r="L30" i="17"/>
  <c r="L28" i="17"/>
  <c r="L29" i="17"/>
  <c r="L31" i="17"/>
  <c r="K29" i="17"/>
  <c r="K28" i="17"/>
  <c r="K31" i="17"/>
  <c r="K30" i="17"/>
  <c r="M30" i="17"/>
  <c r="M28" i="17"/>
  <c r="M31" i="17"/>
  <c r="M29" i="17"/>
  <c r="J31" i="17"/>
  <c r="J29" i="17"/>
  <c r="J30" i="17"/>
  <c r="J28" i="17"/>
  <c r="E27" i="17"/>
  <c r="G27" i="17"/>
  <c r="E26" i="17"/>
  <c r="F26" i="17"/>
  <c r="H27" i="17"/>
  <c r="G26" i="17"/>
  <c r="I27" i="17"/>
  <c r="I26" i="17"/>
  <c r="F27" i="17"/>
  <c r="H26" i="17"/>
  <c r="D26" i="17"/>
  <c r="D27" i="17"/>
  <c r="D28" i="1"/>
  <c r="E26" i="16"/>
  <c r="E27" i="16"/>
  <c r="E26" i="15"/>
  <c r="E27" i="15"/>
  <c r="E26" i="14"/>
  <c r="E27" i="14"/>
  <c r="E28" i="15" a="1"/>
  <c r="E30" i="15" a="1"/>
  <c r="E31" i="15" a="1"/>
  <c r="E29" i="15" a="1"/>
  <c r="I30" i="17" a="1"/>
  <c r="I31" i="17" a="1"/>
  <c r="I29" i="17" a="1"/>
  <c r="I28" i="17" a="1"/>
  <c r="H30" i="17" a="1"/>
  <c r="H29" i="17" a="1"/>
  <c r="H31" i="17" a="1"/>
  <c r="H28" i="17" a="1"/>
  <c r="G29" i="17" a="1"/>
  <c r="G30" i="17" a="1"/>
  <c r="G31" i="17" a="1"/>
  <c r="G28" i="17" a="1"/>
  <c r="F30" i="17" a="1"/>
  <c r="F31" i="17" a="1"/>
  <c r="F29" i="17" a="1"/>
  <c r="F28" i="17" a="1"/>
  <c r="E30" i="17" a="1"/>
  <c r="E28" i="17" a="1"/>
  <c r="E29" i="17" a="1"/>
  <c r="E31" i="17" a="1"/>
  <c r="D29" i="17" a="1"/>
  <c r="D30" i="17" a="1"/>
  <c r="D31" i="17" a="1"/>
  <c r="D28" i="17" a="1"/>
  <c r="E30" i="16" a="1"/>
  <c r="E29" i="16" a="1"/>
  <c r="E28" i="16" a="1"/>
  <c r="E31" i="16" a="1"/>
  <c r="E30" i="14" a="1"/>
  <c r="E29" i="14" a="1"/>
  <c r="E28" i="14" a="1"/>
  <c r="E31" i="14" a="1"/>
  <c r="Z34" i="20" l="1"/>
  <c r="BB34" i="18"/>
  <c r="AV34" i="18"/>
  <c r="BH34" i="18"/>
  <c r="AQ34" i="18"/>
  <c r="AL34" i="18"/>
  <c r="AF34" i="18"/>
  <c r="Z34" i="18"/>
  <c r="AH34" i="17"/>
  <c r="V34" i="19"/>
  <c r="P34" i="19"/>
  <c r="J34" i="19"/>
  <c r="D34" i="19"/>
  <c r="AV34" i="20"/>
  <c r="BA34" i="20"/>
  <c r="AP34" i="20"/>
  <c r="AJ34" i="20"/>
  <c r="AE34" i="20"/>
  <c r="T34" i="20"/>
  <c r="I34" i="20"/>
  <c r="D34" i="20"/>
  <c r="U34" i="18"/>
  <c r="P34" i="18"/>
  <c r="V34" i="17"/>
  <c r="P34" i="17"/>
  <c r="J34" i="18"/>
  <c r="D34" i="18"/>
  <c r="J34" i="17"/>
  <c r="D28" i="17"/>
  <c r="D31" i="17"/>
  <c r="D30" i="17"/>
  <c r="D29" i="17"/>
  <c r="F28" i="17"/>
  <c r="F29" i="17"/>
  <c r="F31" i="17"/>
  <c r="F30" i="17"/>
  <c r="H29" i="17"/>
  <c r="H28" i="17"/>
  <c r="H30" i="17"/>
  <c r="H31" i="17"/>
  <c r="G28" i="17"/>
  <c r="G29" i="17"/>
  <c r="G30" i="17"/>
  <c r="G31" i="17"/>
  <c r="I30" i="17"/>
  <c r="I31" i="17"/>
  <c r="I29" i="17"/>
  <c r="I28" i="17"/>
  <c r="E31" i="17"/>
  <c r="E28" i="17"/>
  <c r="E29" i="17"/>
  <c r="E30" i="17"/>
  <c r="E31" i="16"/>
  <c r="E29" i="16"/>
  <c r="E34" i="16" s="1"/>
  <c r="E28" i="16"/>
  <c r="E30" i="16"/>
  <c r="E29" i="15"/>
  <c r="E34" i="15" s="1"/>
  <c r="E31" i="15"/>
  <c r="E30" i="15"/>
  <c r="E28" i="15"/>
  <c r="E28" i="14"/>
  <c r="E29" i="14"/>
  <c r="E34" i="14" s="1"/>
  <c r="E30" i="14"/>
  <c r="E31" i="14"/>
  <c r="D34" i="17" l="1"/>
  <c r="D7" i="16"/>
  <c r="D7" i="15"/>
  <c r="D7" i="14"/>
  <c r="D27" i="15" a="1"/>
  <c r="D26" i="15" a="1"/>
  <c r="D27" i="16" a="1"/>
  <c r="D26" i="16" a="1"/>
  <c r="D27" i="14" a="1"/>
  <c r="D26" i="14" a="1"/>
  <c r="D26" i="16" l="1"/>
  <c r="D27" i="16"/>
  <c r="D26" i="15"/>
  <c r="D27" i="15"/>
  <c r="D26" i="14"/>
  <c r="D27" i="14"/>
  <c r="D30" i="15" a="1"/>
  <c r="D31" i="15" a="1"/>
  <c r="D29" i="15" a="1"/>
  <c r="D28" i="15" a="1"/>
  <c r="D29" i="16" a="1"/>
  <c r="D30" i="16" a="1"/>
  <c r="D28" i="16" a="1"/>
  <c r="D31" i="16" a="1"/>
  <c r="D30" i="14" a="1"/>
  <c r="D28" i="14" a="1"/>
  <c r="D31" i="14" a="1"/>
  <c r="D29" i="14" a="1"/>
  <c r="D31" i="16" l="1"/>
  <c r="D28" i="16"/>
  <c r="D30" i="16"/>
  <c r="D29" i="16"/>
  <c r="D34" i="16" s="1"/>
  <c r="D28" i="15"/>
  <c r="D29" i="15"/>
  <c r="D34" i="15" s="1"/>
  <c r="D31" i="15"/>
  <c r="D30" i="15"/>
  <c r="D29" i="14"/>
  <c r="D34" i="14" s="1"/>
  <c r="D31" i="14"/>
  <c r="D30" i="14"/>
  <c r="D28" i="14"/>
  <c r="AE7" i="12"/>
  <c r="AD7" i="12"/>
  <c r="AC7" i="12"/>
  <c r="AB7" i="12"/>
  <c r="AA7" i="12"/>
  <c r="Z7" i="12"/>
  <c r="Y7" i="12"/>
  <c r="X7" i="12"/>
  <c r="W7" i="12"/>
  <c r="V7" i="12"/>
  <c r="U7" i="12"/>
  <c r="T7" i="12"/>
  <c r="Z7" i="10"/>
  <c r="AE7" i="10"/>
  <c r="AD7" i="10"/>
  <c r="AC7" i="10"/>
  <c r="AB7" i="10"/>
  <c r="AA7" i="10"/>
  <c r="Y7" i="10"/>
  <c r="X7" i="10"/>
  <c r="W7" i="10"/>
  <c r="V7" i="10"/>
  <c r="U7" i="10"/>
  <c r="T7" i="10"/>
  <c r="AE7" i="1"/>
  <c r="AD7" i="1"/>
  <c r="AC7" i="1"/>
  <c r="AB7" i="1"/>
  <c r="AA7" i="1"/>
  <c r="Z7" i="1"/>
  <c r="Y7" i="1"/>
  <c r="X7" i="1"/>
  <c r="W7" i="1"/>
  <c r="V7" i="1"/>
  <c r="U7" i="1"/>
  <c r="T7" i="1"/>
  <c r="AE27" i="12" a="1"/>
  <c r="AC26" i="12" a="1"/>
  <c r="AD27" i="12" a="1"/>
  <c r="AA26" i="12" a="1"/>
  <c r="AB26" i="12" a="1"/>
  <c r="AC27" i="12" a="1"/>
  <c r="Z26" i="12" a="1"/>
  <c r="Z27" i="12" a="1"/>
  <c r="AE26" i="12" a="1"/>
  <c r="AB27" i="12" a="1"/>
  <c r="AA27" i="12" a="1"/>
  <c r="AD26" i="12" a="1"/>
  <c r="X26" i="12" a="1"/>
  <c r="Y27" i="12" a="1"/>
  <c r="W26" i="12" a="1"/>
  <c r="W27" i="12" a="1"/>
  <c r="T26" i="12" a="1"/>
  <c r="T27" i="12" a="1"/>
  <c r="X27" i="12" a="1"/>
  <c r="V27" i="12" a="1"/>
  <c r="U27" i="12" a="1"/>
  <c r="Y26" i="12" a="1"/>
  <c r="U26" i="12" a="1"/>
  <c r="V26" i="12" a="1"/>
  <c r="AD26" i="1" a="1"/>
  <c r="AE27" i="1" a="1"/>
  <c r="AC26" i="1" a="1"/>
  <c r="AC27" i="1" a="1"/>
  <c r="AA26" i="1" a="1"/>
  <c r="AA27" i="1" a="1"/>
  <c r="AD27" i="1" a="1"/>
  <c r="AB27" i="1" a="1"/>
  <c r="Z26" i="1" a="1"/>
  <c r="Z27" i="1" a="1"/>
  <c r="AE26" i="1" a="1"/>
  <c r="AB26" i="1" a="1"/>
  <c r="Y27" i="1" a="1"/>
  <c r="V27" i="1" a="1"/>
  <c r="T26" i="1" a="1"/>
  <c r="T27" i="1" a="1"/>
  <c r="U27" i="1" a="1"/>
  <c r="W27" i="1" a="1"/>
  <c r="U26" i="1" a="1"/>
  <c r="V26" i="1" a="1"/>
  <c r="Y26" i="1" a="1"/>
  <c r="X26" i="1" a="1"/>
  <c r="W26" i="1" a="1"/>
  <c r="X27" i="1" a="1"/>
  <c r="AA26" i="10" a="1"/>
  <c r="AE26" i="10" a="1"/>
  <c r="AC27" i="10" a="1"/>
  <c r="Y27" i="10" a="1"/>
  <c r="W26" i="10" a="1"/>
  <c r="T26" i="10" a="1"/>
  <c r="X26" i="10" a="1"/>
  <c r="X27" i="10" a="1"/>
  <c r="V26" i="10" a="1"/>
  <c r="AE27" i="10" a="1"/>
  <c r="U26" i="10" a="1"/>
  <c r="AC26" i="10" a="1"/>
  <c r="AB27" i="10" a="1"/>
  <c r="Y26" i="10" a="1"/>
  <c r="Z27" i="10" a="1"/>
  <c r="AD26" i="10" a="1"/>
  <c r="AB26" i="10" a="1"/>
  <c r="W27" i="10" a="1"/>
  <c r="U27" i="10" a="1"/>
  <c r="T27" i="10" a="1"/>
  <c r="V27" i="10" a="1"/>
  <c r="AA27" i="10" a="1"/>
  <c r="AD27" i="10" a="1"/>
  <c r="Z26" i="10" a="1"/>
  <c r="AD26" i="12" l="1"/>
  <c r="AA27" i="12"/>
  <c r="AB27" i="12"/>
  <c r="AE26" i="12"/>
  <c r="Z27" i="12"/>
  <c r="Z26" i="12"/>
  <c r="AC27" i="12"/>
  <c r="AB26" i="12"/>
  <c r="AA26" i="12"/>
  <c r="AD27" i="12"/>
  <c r="AC26" i="12"/>
  <c r="AE27" i="12"/>
  <c r="V26" i="12"/>
  <c r="U26" i="12"/>
  <c r="Y26" i="12"/>
  <c r="U27" i="12"/>
  <c r="V27" i="12"/>
  <c r="X27" i="12"/>
  <c r="T27" i="12"/>
  <c r="T26" i="12"/>
  <c r="W27" i="12"/>
  <c r="W26" i="12"/>
  <c r="Y27" i="12"/>
  <c r="X26" i="12"/>
  <c r="AC27" i="10"/>
  <c r="AE26" i="10"/>
  <c r="Z27" i="10"/>
  <c r="AA26" i="10"/>
  <c r="AA27" i="10"/>
  <c r="Z26" i="10"/>
  <c r="AB27" i="10"/>
  <c r="AC26" i="10"/>
  <c r="AD27" i="10"/>
  <c r="AE27" i="10"/>
  <c r="AB26" i="10"/>
  <c r="AD26" i="10"/>
  <c r="Y26" i="10"/>
  <c r="V27" i="10"/>
  <c r="T27" i="10"/>
  <c r="U27" i="10"/>
  <c r="U26" i="10"/>
  <c r="W27" i="10"/>
  <c r="V26" i="10"/>
  <c r="X27" i="10"/>
  <c r="X26" i="10"/>
  <c r="T26" i="10"/>
  <c r="W26" i="10"/>
  <c r="Y27" i="10"/>
  <c r="AB26" i="1"/>
  <c r="AE26" i="1"/>
  <c r="Z27" i="1"/>
  <c r="Z26" i="1"/>
  <c r="AB27" i="1"/>
  <c r="AD27" i="1"/>
  <c r="AA27" i="1"/>
  <c r="AA26" i="1"/>
  <c r="AC27" i="1"/>
  <c r="AC26" i="1"/>
  <c r="AE27" i="1"/>
  <c r="AD26" i="1"/>
  <c r="X27" i="1"/>
  <c r="W26" i="1"/>
  <c r="X26" i="1"/>
  <c r="Y26" i="1"/>
  <c r="V26" i="1"/>
  <c r="U26" i="1"/>
  <c r="W27" i="1"/>
  <c r="U27" i="1"/>
  <c r="T27" i="1"/>
  <c r="T26" i="1"/>
  <c r="V27" i="1"/>
  <c r="Y27" i="1"/>
  <c r="AE7" i="13"/>
  <c r="AD7" i="13"/>
  <c r="AC7" i="13"/>
  <c r="AB7" i="13"/>
  <c r="AE7" i="11"/>
  <c r="AD7" i="11"/>
  <c r="AC7" i="11"/>
  <c r="AB7" i="11"/>
  <c r="AB34" i="8"/>
  <c r="AE7" i="8"/>
  <c r="AD7" i="8"/>
  <c r="AC7" i="8"/>
  <c r="AB7" i="8"/>
  <c r="X34" i="13"/>
  <c r="T34" i="13"/>
  <c r="AA7" i="13"/>
  <c r="Z7" i="13"/>
  <c r="Y7" i="13"/>
  <c r="X7" i="13"/>
  <c r="W7" i="13"/>
  <c r="V7" i="13"/>
  <c r="U7" i="13"/>
  <c r="T7" i="13"/>
  <c r="S7" i="13"/>
  <c r="R7" i="13"/>
  <c r="Q7" i="13"/>
  <c r="P7" i="13"/>
  <c r="AA7" i="11"/>
  <c r="Z7" i="11"/>
  <c r="Y7" i="11"/>
  <c r="X7" i="11"/>
  <c r="W7" i="11"/>
  <c r="V7" i="11"/>
  <c r="U7" i="11"/>
  <c r="T7" i="11"/>
  <c r="S7" i="11"/>
  <c r="R7" i="11"/>
  <c r="Q7" i="11"/>
  <c r="P7" i="11"/>
  <c r="AA7" i="8"/>
  <c r="Z7" i="8"/>
  <c r="Y7" i="8"/>
  <c r="X7" i="8"/>
  <c r="W7" i="8"/>
  <c r="V7" i="8"/>
  <c r="U7" i="8"/>
  <c r="T7" i="8"/>
  <c r="S7" i="8"/>
  <c r="R7" i="8"/>
  <c r="Q7" i="8"/>
  <c r="P7" i="8"/>
  <c r="O7" i="13"/>
  <c r="N7" i="13"/>
  <c r="M7" i="13"/>
  <c r="L7" i="13"/>
  <c r="O7" i="11"/>
  <c r="N7" i="11"/>
  <c r="M7" i="11"/>
  <c r="L7" i="11"/>
  <c r="O7" i="8"/>
  <c r="N7" i="8"/>
  <c r="M7" i="8"/>
  <c r="L7" i="8"/>
  <c r="K7" i="11"/>
  <c r="J7" i="11"/>
  <c r="I7" i="11"/>
  <c r="H7" i="11"/>
  <c r="G7" i="11"/>
  <c r="F7" i="11"/>
  <c r="E7" i="11"/>
  <c r="D7" i="11"/>
  <c r="K7" i="13"/>
  <c r="J7" i="13"/>
  <c r="I7" i="13"/>
  <c r="H7" i="13"/>
  <c r="K7" i="8"/>
  <c r="J7" i="8"/>
  <c r="I7" i="8"/>
  <c r="H7" i="8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E7" i="1"/>
  <c r="G7" i="13"/>
  <c r="F7" i="13"/>
  <c r="E7" i="13"/>
  <c r="D7" i="13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G7" i="8"/>
  <c r="F7" i="8"/>
  <c r="E7" i="8"/>
  <c r="D7" i="8"/>
  <c r="Q7" i="10"/>
  <c r="R7" i="10"/>
  <c r="S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D7" i="1"/>
  <c r="D27" i="7" a="1"/>
  <c r="E26" i="13" a="1"/>
  <c r="G26" i="13" a="1"/>
  <c r="F27" i="7" a="1"/>
  <c r="D27" i="13" a="1"/>
  <c r="H26" i="7" a="1"/>
  <c r="H27" i="7" a="1"/>
  <c r="D26" i="13" a="1"/>
  <c r="F26" i="7" a="1"/>
  <c r="F26" i="13" a="1"/>
  <c r="I27" i="7" a="1"/>
  <c r="H27" i="13" a="1"/>
  <c r="G26" i="7" a="1"/>
  <c r="E27" i="7" a="1"/>
  <c r="E27" i="13" a="1"/>
  <c r="K27" i="13" a="1"/>
  <c r="I27" i="13" a="1"/>
  <c r="H26" i="13" a="1"/>
  <c r="J27" i="13" a="1"/>
  <c r="I26" i="7" a="1"/>
  <c r="K26" i="13" a="1"/>
  <c r="J26" i="13" a="1"/>
  <c r="G27" i="7" a="1"/>
  <c r="E26" i="7" a="1"/>
  <c r="D26" i="7" a="1"/>
  <c r="I26" i="13" a="1"/>
  <c r="F27" i="13" a="1"/>
  <c r="G27" i="13" a="1"/>
  <c r="AB26" i="13" a="1"/>
  <c r="AE27" i="13" a="1"/>
  <c r="AD27" i="13" a="1"/>
  <c r="AE26" i="13" a="1"/>
  <c r="AC27" i="13" a="1"/>
  <c r="AB27" i="13" a="1"/>
  <c r="AD26" i="13" a="1"/>
  <c r="AC26" i="13" a="1"/>
  <c r="AB26" i="11" a="1"/>
  <c r="AE27" i="11" a="1"/>
  <c r="AD27" i="11" a="1"/>
  <c r="AC27" i="11" a="1"/>
  <c r="AB27" i="11" a="1"/>
  <c r="AE26" i="11" a="1"/>
  <c r="AC26" i="11" a="1"/>
  <c r="AD26" i="11" a="1"/>
  <c r="AB26" i="8" a="1"/>
  <c r="AE27" i="8" a="1"/>
  <c r="AD27" i="8" a="1"/>
  <c r="AB27" i="8" a="1"/>
  <c r="AC27" i="8" a="1"/>
  <c r="AE26" i="8" a="1"/>
  <c r="AD26" i="8" a="1"/>
  <c r="AC26" i="8" a="1"/>
  <c r="X26" i="13" a="1"/>
  <c r="AA27" i="13" a="1"/>
  <c r="Z26" i="13" a="1"/>
  <c r="Z27" i="13" a="1"/>
  <c r="Y27" i="13" a="1"/>
  <c r="AA26" i="13" a="1"/>
  <c r="X27" i="13" a="1"/>
  <c r="Y26" i="13" a="1"/>
  <c r="T26" i="13" a="1"/>
  <c r="W27" i="13" a="1"/>
  <c r="U26" i="13" a="1"/>
  <c r="V27" i="13" a="1"/>
  <c r="U27" i="13" a="1"/>
  <c r="T27" i="13" a="1"/>
  <c r="W26" i="13" a="1"/>
  <c r="V26" i="13" a="1"/>
  <c r="P26" i="13" a="1"/>
  <c r="S27" i="13" a="1"/>
  <c r="R27" i="13" a="1"/>
  <c r="Q27" i="13" a="1"/>
  <c r="P27" i="13" a="1"/>
  <c r="R26" i="13" a="1"/>
  <c r="Q26" i="13" a="1"/>
  <c r="S26" i="13" a="1"/>
  <c r="X26" i="11" a="1"/>
  <c r="AA27" i="11" a="1"/>
  <c r="Z27" i="11" a="1"/>
  <c r="Y27" i="11" a="1"/>
  <c r="X27" i="11" a="1"/>
  <c r="Z26" i="11" a="1"/>
  <c r="AA26" i="11" a="1"/>
  <c r="Y26" i="11" a="1"/>
  <c r="T26" i="11" a="1"/>
  <c r="W27" i="11" a="1"/>
  <c r="V27" i="11" a="1"/>
  <c r="V26" i="11" a="1"/>
  <c r="U27" i="11" a="1"/>
  <c r="W26" i="11" a="1"/>
  <c r="T27" i="11" a="1"/>
  <c r="U26" i="11" a="1"/>
  <c r="P26" i="11" a="1"/>
  <c r="S27" i="11" a="1"/>
  <c r="R27" i="11" a="1"/>
  <c r="Q27" i="11" a="1"/>
  <c r="S26" i="11" a="1"/>
  <c r="P27" i="11" a="1"/>
  <c r="R26" i="11" a="1"/>
  <c r="Q26" i="11" a="1"/>
  <c r="X26" i="8" a="1"/>
  <c r="Z27" i="8" a="1"/>
  <c r="AA27" i="8" a="1"/>
  <c r="Y27" i="8" a="1"/>
  <c r="X27" i="8" a="1"/>
  <c r="Z26" i="8" a="1"/>
  <c r="AA26" i="8" a="1"/>
  <c r="Y26" i="8" a="1"/>
  <c r="W27" i="8" a="1"/>
  <c r="V27" i="8" a="1"/>
  <c r="T27" i="8" a="1"/>
  <c r="U27" i="8" a="1"/>
  <c r="W26" i="8" a="1"/>
  <c r="T26" i="8" a="1"/>
  <c r="V26" i="8" a="1"/>
  <c r="U26" i="8" a="1"/>
  <c r="P26" i="8" a="1"/>
  <c r="S27" i="8" a="1"/>
  <c r="R27" i="8" a="1"/>
  <c r="R26" i="8" a="1"/>
  <c r="Q27" i="8" a="1"/>
  <c r="P27" i="8" a="1"/>
  <c r="S26" i="8" a="1"/>
  <c r="Q26" i="8" a="1"/>
  <c r="L26" i="13" a="1"/>
  <c r="N27" i="13" a="1"/>
  <c r="O27" i="13" a="1"/>
  <c r="M27" i="13" a="1"/>
  <c r="L27" i="13" a="1"/>
  <c r="O26" i="13" a="1"/>
  <c r="N26" i="13" a="1"/>
  <c r="M26" i="13" a="1"/>
  <c r="L26" i="11" a="1"/>
  <c r="O27" i="11" a="1"/>
  <c r="N27" i="11" a="1"/>
  <c r="N26" i="11" a="1"/>
  <c r="M27" i="11" a="1"/>
  <c r="O26" i="11" a="1"/>
  <c r="L27" i="11" a="1"/>
  <c r="M26" i="11" a="1"/>
  <c r="AP26" i="11" a="1"/>
  <c r="AL27" i="11" a="1"/>
  <c r="AH27" i="11" a="1"/>
  <c r="AI26" i="11" a="1"/>
  <c r="AJ27" i="11" a="1"/>
  <c r="AJ26" i="11" a="1"/>
  <c r="AO27" i="11" a="1"/>
  <c r="AK26" i="11" a="1"/>
  <c r="AS26" i="11" a="1"/>
  <c r="AT26" i="11" a="1"/>
  <c r="AM26" i="11" a="1"/>
  <c r="K26" i="11" a="1"/>
  <c r="J27" i="11" a="1"/>
  <c r="E26" i="11" a="1"/>
  <c r="AM27" i="11" a="1"/>
  <c r="AG26" i="11" a="1"/>
  <c r="G26" i="11" a="1"/>
  <c r="AQ27" i="11" a="1"/>
  <c r="AI27" i="11" a="1"/>
  <c r="E27" i="11" a="1"/>
  <c r="AR26" i="11" a="1"/>
  <c r="AP27" i="11" a="1"/>
  <c r="D26" i="11" a="1"/>
  <c r="AG27" i="11" a="1"/>
  <c r="AN27" i="11" a="1"/>
  <c r="F27" i="11" a="1"/>
  <c r="H26" i="11" a="1"/>
  <c r="AR27" i="11" a="1"/>
  <c r="AT27" i="11" a="1"/>
  <c r="F26" i="11" a="1"/>
  <c r="AS27" i="11" a="1"/>
  <c r="AQ26" i="11" a="1"/>
  <c r="AO26" i="11" a="1"/>
  <c r="D27" i="11" a="1"/>
  <c r="AN26" i="11" a="1"/>
  <c r="H27" i="11" a="1"/>
  <c r="K27" i="11" a="1"/>
  <c r="J26" i="11" a="1"/>
  <c r="AF27" i="11" a="1"/>
  <c r="AH26" i="11" a="1"/>
  <c r="I26" i="11" a="1"/>
  <c r="I27" i="11" a="1"/>
  <c r="AF26" i="11" a="1"/>
  <c r="AK27" i="11" a="1"/>
  <c r="AL26" i="11" a="1"/>
  <c r="G27" i="11" a="1"/>
  <c r="M26" i="8" a="1"/>
  <c r="O27" i="8" a="1"/>
  <c r="N27" i="8" a="1"/>
  <c r="O26" i="8" a="1"/>
  <c r="M27" i="8" a="1"/>
  <c r="L27" i="8" a="1"/>
  <c r="N26" i="8" a="1"/>
  <c r="L26" i="8" a="1"/>
  <c r="E26" i="8" a="1"/>
  <c r="AI26" i="8" a="1"/>
  <c r="AN27" i="8" a="1"/>
  <c r="E27" i="8" a="1"/>
  <c r="I26" i="8" a="1"/>
  <c r="AG26" i="8" a="1"/>
  <c r="D27" i="8" a="1"/>
  <c r="H27" i="8" a="1"/>
  <c r="AH27" i="8" a="1"/>
  <c r="K26" i="8" a="1"/>
  <c r="F27" i="8" a="1"/>
  <c r="AJ26" i="8" a="1"/>
  <c r="AI27" i="8" a="1"/>
  <c r="AL27" i="8" a="1"/>
  <c r="AM26" i="8" a="1"/>
  <c r="AJ27" i="8" a="1"/>
  <c r="J27" i="8" a="1"/>
  <c r="AF26" i="8" a="1"/>
  <c r="AM27" i="8" a="1"/>
  <c r="AH26" i="8" a="1"/>
  <c r="AN26" i="8" a="1"/>
  <c r="AL26" i="8" a="1"/>
  <c r="AK26" i="8" a="1"/>
  <c r="AK27" i="8" a="1"/>
  <c r="I27" i="8" a="1"/>
  <c r="G26" i="8" a="1"/>
  <c r="H26" i="8" a="1"/>
  <c r="K27" i="8" a="1"/>
  <c r="AF27" i="8" a="1"/>
  <c r="F26" i="8" a="1"/>
  <c r="AO26" i="8" a="1"/>
  <c r="J26" i="8" a="1"/>
  <c r="G27" i="8" a="1"/>
  <c r="AO27" i="8" a="1"/>
  <c r="AG27" i="8" a="1"/>
  <c r="D26" i="8" a="1"/>
  <c r="AA31" i="12" a="1"/>
  <c r="AA28" i="12" a="1"/>
  <c r="AA30" i="12" a="1"/>
  <c r="AA29" i="12" a="1"/>
  <c r="AB28" i="12" a="1"/>
  <c r="AB31" i="12" a="1"/>
  <c r="AB29" i="12" a="1"/>
  <c r="AB30" i="12" a="1"/>
  <c r="Z31" i="12" a="1"/>
  <c r="Z30" i="12" a="1"/>
  <c r="Z28" i="12" a="1"/>
  <c r="Z29" i="12" a="1"/>
  <c r="AC29" i="12" a="1"/>
  <c r="AC31" i="12" a="1"/>
  <c r="AC28" i="12" a="1"/>
  <c r="AC30" i="12" a="1"/>
  <c r="AD29" i="12" a="1"/>
  <c r="AD28" i="12" a="1"/>
  <c r="AD31" i="12" a="1"/>
  <c r="AD30" i="12" a="1"/>
  <c r="AE29" i="12" a="1"/>
  <c r="AE28" i="12" a="1"/>
  <c r="AE31" i="12" a="1"/>
  <c r="AE30" i="12" a="1"/>
  <c r="U30" i="12" a="1"/>
  <c r="U31" i="12" a="1"/>
  <c r="U28" i="12" a="1"/>
  <c r="U29" i="12" a="1"/>
  <c r="V28" i="12" a="1"/>
  <c r="V31" i="12" a="1"/>
  <c r="V30" i="12" a="1"/>
  <c r="V29" i="12" a="1"/>
  <c r="X29" i="12" a="1"/>
  <c r="X28" i="12" a="1"/>
  <c r="X31" i="12" a="1"/>
  <c r="X30" i="12" a="1"/>
  <c r="T31" i="12" a="1"/>
  <c r="T30" i="12" a="1"/>
  <c r="T29" i="12" a="1"/>
  <c r="T28" i="12" a="1"/>
  <c r="W29" i="12" a="1"/>
  <c r="W28" i="12" a="1"/>
  <c r="W31" i="12" a="1"/>
  <c r="W30" i="12" a="1"/>
  <c r="Y30" i="12" a="1"/>
  <c r="Y28" i="12" a="1"/>
  <c r="Y29" i="12" a="1"/>
  <c r="Y31" i="12" a="1"/>
  <c r="AM26" i="12" a="1"/>
  <c r="AI26" i="12" a="1"/>
  <c r="AT26" i="12" a="1"/>
  <c r="AG27" i="12" a="1"/>
  <c r="K27" i="12" a="1"/>
  <c r="N26" i="12" a="1"/>
  <c r="R26" i="12" a="1"/>
  <c r="S26" i="12" a="1"/>
  <c r="AN27" i="12" a="1"/>
  <c r="AH27" i="12" a="1"/>
  <c r="R27" i="12" a="1"/>
  <c r="H26" i="12" a="1"/>
  <c r="AU26" i="12" a="1"/>
  <c r="D26" i="12" a="1"/>
  <c r="AO27" i="12" a="1"/>
  <c r="O26" i="12" a="1"/>
  <c r="AI27" i="12" a="1"/>
  <c r="AJ27" i="12" a="1"/>
  <c r="AK27" i="12" a="1"/>
  <c r="AJ26" i="12" a="1"/>
  <c r="G26" i="12" a="1"/>
  <c r="N27" i="12" a="1"/>
  <c r="H27" i="12" a="1"/>
  <c r="E27" i="12" a="1"/>
  <c r="J26" i="12" a="1"/>
  <c r="J27" i="12" a="1"/>
  <c r="AP27" i="12" a="1"/>
  <c r="AR26" i="12" a="1"/>
  <c r="L27" i="12" a="1"/>
  <c r="AN26" i="12" a="1"/>
  <c r="AS26" i="12" a="1"/>
  <c r="AT27" i="12" a="1"/>
  <c r="AF27" i="12" a="1"/>
  <c r="Q26" i="12" a="1"/>
  <c r="S27" i="12" a="1"/>
  <c r="AL26" i="12" a="1"/>
  <c r="AF26" i="12" a="1"/>
  <c r="AQ26" i="12" a="1"/>
  <c r="G27" i="12" a="1"/>
  <c r="O27" i="12" a="1"/>
  <c r="AG26" i="12" a="1"/>
  <c r="F26" i="12" a="1"/>
  <c r="I26" i="12" a="1"/>
  <c r="AQ27" i="12" a="1"/>
  <c r="AH26" i="12" a="1"/>
  <c r="AS27" i="12" a="1"/>
  <c r="M26" i="12" a="1"/>
  <c r="AK26" i="12" a="1"/>
  <c r="I27" i="12" a="1"/>
  <c r="E26" i="12" a="1"/>
  <c r="P27" i="12" a="1"/>
  <c r="P26" i="12" a="1"/>
  <c r="D27" i="12" a="1"/>
  <c r="AO26" i="12" a="1"/>
  <c r="K26" i="12" a="1"/>
  <c r="AM27" i="12" a="1"/>
  <c r="L26" i="12" a="1"/>
  <c r="F27" i="12" a="1"/>
  <c r="AP26" i="12" a="1"/>
  <c r="Q27" i="12" a="1"/>
  <c r="M27" i="12" a="1"/>
  <c r="AU27" i="12" a="1"/>
  <c r="AR27" i="12" a="1"/>
  <c r="AL27" i="12" a="1"/>
  <c r="Z29" i="1" a="1"/>
  <c r="Z31" i="1" a="1"/>
  <c r="Z30" i="1" a="1"/>
  <c r="Z28" i="1" a="1"/>
  <c r="AB28" i="1" a="1"/>
  <c r="AB30" i="1" a="1"/>
  <c r="AB31" i="1" a="1"/>
  <c r="AB29" i="1" a="1"/>
  <c r="AD29" i="1" a="1"/>
  <c r="AD28" i="1" a="1"/>
  <c r="AD31" i="1" a="1"/>
  <c r="AD30" i="1" a="1"/>
  <c r="AA28" i="1" a="1"/>
  <c r="AA31" i="1" a="1"/>
  <c r="AA30" i="1" a="1"/>
  <c r="AA29" i="1" a="1"/>
  <c r="AC29" i="1" a="1"/>
  <c r="AC28" i="1" a="1"/>
  <c r="AC31" i="1" a="1"/>
  <c r="AC30" i="1" a="1"/>
  <c r="AE30" i="1" a="1"/>
  <c r="AE29" i="1" a="1"/>
  <c r="AE28" i="1" a="1"/>
  <c r="AE31" i="1" a="1"/>
  <c r="W29" i="1" a="1"/>
  <c r="W28" i="1" a="1"/>
  <c r="W31" i="1" a="1"/>
  <c r="W30" i="1" a="1"/>
  <c r="U28" i="1" a="1"/>
  <c r="U31" i="1" a="1"/>
  <c r="U30" i="1" a="1"/>
  <c r="U29" i="1" a="1"/>
  <c r="T29" i="1" a="1"/>
  <c r="T31" i="1" a="1"/>
  <c r="T30" i="1" a="1"/>
  <c r="T28" i="1" a="1"/>
  <c r="X30" i="1" a="1"/>
  <c r="X29" i="1" a="1"/>
  <c r="X28" i="1" a="1"/>
  <c r="X31" i="1" a="1"/>
  <c r="V29" i="1" a="1"/>
  <c r="V28" i="1" a="1"/>
  <c r="V30" i="1" a="1"/>
  <c r="V31" i="1" a="1"/>
  <c r="Y28" i="1" a="1"/>
  <c r="Y30" i="1" a="1"/>
  <c r="Y29" i="1" a="1"/>
  <c r="Y31" i="1" a="1"/>
  <c r="AL26" i="1" a="1"/>
  <c r="BB27" i="1" a="1"/>
  <c r="AI26" i="1" a="1"/>
  <c r="AV27" i="1" a="1"/>
  <c r="L27" i="1" a="1"/>
  <c r="AK27" i="1" a="1"/>
  <c r="AQ26" i="1" a="1"/>
  <c r="R26" i="1" a="1"/>
  <c r="S26" i="1" a="1"/>
  <c r="AU26" i="1" a="1"/>
  <c r="AW27" i="1" a="1"/>
  <c r="BD26" i="1" a="1"/>
  <c r="AR27" i="1" a="1"/>
  <c r="Q26" i="1" a="1"/>
  <c r="AM27" i="1" a="1"/>
  <c r="F26" i="1" a="1"/>
  <c r="AF27" i="1" a="1"/>
  <c r="AK26" i="1" a="1"/>
  <c r="AU27" i="1" a="1"/>
  <c r="AQ27" i="1" a="1"/>
  <c r="BA27" i="1" a="1"/>
  <c r="BE26" i="1" a="1"/>
  <c r="M26" i="1" a="1"/>
  <c r="I27" i="1" a="1"/>
  <c r="AP27" i="1" a="1"/>
  <c r="AZ26" i="1" a="1"/>
  <c r="M27" i="1" a="1"/>
  <c r="AW26" i="1" a="1"/>
  <c r="I26" i="1" a="1"/>
  <c r="J26" i="1" a="1"/>
  <c r="AJ26" i="1" a="1"/>
  <c r="AN27" i="1" a="1"/>
  <c r="O27" i="1" a="1"/>
  <c r="E27" i="1" a="1"/>
  <c r="AM26" i="1" a="1"/>
  <c r="AT26" i="1" a="1"/>
  <c r="N27" i="1" a="1"/>
  <c r="AX26" i="1" a="1"/>
  <c r="BB26" i="1" a="1"/>
  <c r="BA26" i="1" a="1"/>
  <c r="AH26" i="1" a="1"/>
  <c r="AT27" i="1" a="1"/>
  <c r="Q27" i="1" a="1"/>
  <c r="AO26" i="1" a="1"/>
  <c r="L26" i="1" a="1"/>
  <c r="AS26" i="1" a="1"/>
  <c r="BD27" i="1" a="1"/>
  <c r="AS27" i="1" a="1"/>
  <c r="N26" i="1" a="1"/>
  <c r="AG27" i="1" a="1"/>
  <c r="BC26" i="1" a="1"/>
  <c r="BC27" i="1" a="1"/>
  <c r="AZ27" i="1" a="1"/>
  <c r="AO27" i="1" a="1"/>
  <c r="AV26" i="1" a="1"/>
  <c r="H26" i="1" a="1"/>
  <c r="E26" i="1" a="1"/>
  <c r="BE27" i="1" a="1"/>
  <c r="K27" i="1" a="1"/>
  <c r="AP26" i="1" a="1"/>
  <c r="AJ27" i="1" a="1"/>
  <c r="J27" i="1" a="1"/>
  <c r="AG26" i="1" a="1"/>
  <c r="P26" i="1" a="1"/>
  <c r="F27" i="1" a="1"/>
  <c r="AR26" i="1" a="1"/>
  <c r="AL27" i="1" a="1"/>
  <c r="AN26" i="1" a="1"/>
  <c r="H27" i="1" a="1"/>
  <c r="AY27" i="1" a="1"/>
  <c r="P27" i="1" a="1"/>
  <c r="K26" i="1" a="1"/>
  <c r="D27" i="1" a="1"/>
  <c r="AI27" i="1" a="1"/>
  <c r="AH27" i="1" a="1"/>
  <c r="AF26" i="1" a="1"/>
  <c r="AX27" i="1" a="1"/>
  <c r="O26" i="1" a="1"/>
  <c r="R27" i="1" a="1"/>
  <c r="G27" i="1" a="1"/>
  <c r="AY26" i="1" a="1"/>
  <c r="D26" i="1" a="1"/>
  <c r="G26" i="1" a="1"/>
  <c r="S27" i="1" a="1"/>
  <c r="AA30" i="10" a="1"/>
  <c r="V29" i="10" a="1"/>
  <c r="Y29" i="10" a="1"/>
  <c r="BF27" i="10" a="1"/>
  <c r="H26" i="10" a="1"/>
  <c r="K27" i="10" a="1"/>
  <c r="AT27" i="10" a="1"/>
  <c r="AM26" i="10" a="1"/>
  <c r="AV27" i="10" a="1"/>
  <c r="AK26" i="10" a="1"/>
  <c r="AV26" i="10" a="1"/>
  <c r="AR26" i="10" a="1"/>
  <c r="AY26" i="10" a="1"/>
  <c r="D26" i="10" a="1"/>
  <c r="D27" i="10" a="1"/>
  <c r="AR27" i="10" a="1"/>
  <c r="AK27" i="10" a="1"/>
  <c r="AJ26" i="10" a="1"/>
  <c r="G26" i="10" a="1"/>
  <c r="L27" i="10" a="1"/>
  <c r="W28" i="10" a="1"/>
  <c r="BA27" i="10" a="1"/>
  <c r="S27" i="10" a="1"/>
  <c r="AI26" i="10" a="1"/>
  <c r="W29" i="10" a="1"/>
  <c r="AP26" i="10" a="1"/>
  <c r="AO27" i="10" a="1"/>
  <c r="BB26" i="10" a="1"/>
  <c r="X29" i="10" a="1"/>
  <c r="AL27" i="10" a="1"/>
  <c r="AU26" i="10" a="1"/>
  <c r="AI27" i="10" a="1"/>
  <c r="AA29" i="10" a="1"/>
  <c r="V30" i="10" a="1"/>
  <c r="Y31" i="10" a="1"/>
  <c r="BG26" i="10" a="1"/>
  <c r="BB27" i="10" a="1"/>
  <c r="O26" i="10" a="1"/>
  <c r="AQ26" i="10" a="1"/>
  <c r="T30" i="10" a="1"/>
  <c r="P26" i="10" a="1"/>
  <c r="T29" i="10" a="1"/>
  <c r="F26" i="10" a="1"/>
  <c r="AC29" i="10" a="1"/>
  <c r="AW26" i="10" a="1"/>
  <c r="BI26" i="10" a="1"/>
  <c r="AG27" i="10" a="1"/>
  <c r="AD28" i="10" a="1"/>
  <c r="AH26" i="10" a="1"/>
  <c r="AC31" i="10" a="1"/>
  <c r="AN26" i="10" a="1"/>
  <c r="AG26" i="10" a="1"/>
  <c r="BF26" i="10" a="1"/>
  <c r="AW27" i="10" a="1"/>
  <c r="AF26" i="10" a="1"/>
  <c r="N26" i="10" a="1"/>
  <c r="AE28" i="10" a="1"/>
  <c r="AH27" i="10" a="1"/>
  <c r="BG27" i="10" a="1"/>
  <c r="AB28" i="10" a="1"/>
  <c r="T31" i="10" a="1"/>
  <c r="U28" i="10" a="1"/>
  <c r="AP27" i="10" a="1"/>
  <c r="N27" i="10" a="1"/>
  <c r="AB30" i="10" a="1"/>
  <c r="AS26" i="10" a="1"/>
  <c r="I26" i="10" a="1"/>
  <c r="Q26" i="10" a="1"/>
  <c r="O27" i="10" a="1"/>
  <c r="W31" i="10" a="1"/>
  <c r="BC26" i="10" a="1"/>
  <c r="AD31" i="10" a="1"/>
  <c r="S26" i="10" a="1"/>
  <c r="Z30" i="10" a="1"/>
  <c r="Z29" i="10" a="1"/>
  <c r="BI27" i="10" a="1"/>
  <c r="AL26" i="10" a="1"/>
  <c r="V31" i="10" a="1"/>
  <c r="AB31" i="10" a="1"/>
  <c r="T28" i="10" a="1"/>
  <c r="U31" i="10" a="1"/>
  <c r="AQ27" i="10" a="1"/>
  <c r="E26" i="10" a="1"/>
  <c r="U30" i="10" a="1"/>
  <c r="Q27" i="10" a="1"/>
  <c r="U29" i="10" a="1"/>
  <c r="AD29" i="10" a="1"/>
  <c r="K26" i="10" a="1"/>
  <c r="H27" i="10" a="1"/>
  <c r="AX27" i="10" a="1"/>
  <c r="I27" i="10" a="1"/>
  <c r="W30" i="10" a="1"/>
  <c r="AY27" i="10" a="1"/>
  <c r="M26" i="10" a="1"/>
  <c r="AX26" i="10" a="1"/>
  <c r="BC27" i="10" a="1"/>
  <c r="AU27" i="10" a="1"/>
  <c r="R26" i="10" a="1"/>
  <c r="V28" i="10" a="1"/>
  <c r="J27" i="10" a="1"/>
  <c r="BH27" i="10" a="1"/>
  <c r="R27" i="10" a="1"/>
  <c r="AE31" i="10" a="1"/>
  <c r="AJ27" i="10" a="1"/>
  <c r="J26" i="10" a="1"/>
  <c r="AA31" i="10" a="1"/>
  <c r="AB29" i="10" a="1"/>
  <c r="G27" i="10" a="1"/>
  <c r="P27" i="10" a="1"/>
  <c r="BE27" i="10" a="1"/>
  <c r="BH26" i="10" a="1"/>
  <c r="BD27" i="10" a="1"/>
  <c r="L26" i="10" a="1"/>
  <c r="AC28" i="10" a="1"/>
  <c r="AM27" i="10" a="1"/>
  <c r="AD30" i="10" a="1"/>
  <c r="BE26" i="10" a="1"/>
  <c r="AF27" i="10" a="1"/>
  <c r="AT26" i="10" a="1"/>
  <c r="BA26" i="10" a="1"/>
  <c r="AC30" i="10" a="1"/>
  <c r="Z31" i="10" a="1"/>
  <c r="AE30" i="10" a="1"/>
  <c r="X30" i="10" a="1"/>
  <c r="AN27" i="10" a="1"/>
  <c r="AO26" i="10" a="1"/>
  <c r="AS27" i="10" a="1"/>
  <c r="AZ26" i="10" a="1"/>
  <c r="AZ27" i="10" a="1"/>
  <c r="BD26" i="10" a="1"/>
  <c r="AE29" i="10" a="1"/>
  <c r="F27" i="10" a="1"/>
  <c r="X28" i="10" a="1"/>
  <c r="X31" i="10" a="1"/>
  <c r="Y30" i="10" a="1"/>
  <c r="E27" i="10" a="1"/>
  <c r="M27" i="10" a="1"/>
  <c r="Z28" i="10" a="1"/>
  <c r="Y28" i="10" a="1"/>
  <c r="AA28" i="10" a="1"/>
  <c r="AE30" i="12" l="1"/>
  <c r="AE31" i="12"/>
  <c r="AE28" i="12"/>
  <c r="AE29" i="12"/>
  <c r="AD30" i="12"/>
  <c r="AD31" i="12"/>
  <c r="AD28" i="12"/>
  <c r="AD29" i="12"/>
  <c r="AC30" i="12"/>
  <c r="AC28" i="12"/>
  <c r="AC31" i="12"/>
  <c r="AC29" i="12"/>
  <c r="Z29" i="12"/>
  <c r="Z28" i="12"/>
  <c r="Z30" i="12"/>
  <c r="Z31" i="12"/>
  <c r="AB30" i="12"/>
  <c r="AB29" i="12"/>
  <c r="AB31" i="12"/>
  <c r="AB28" i="12"/>
  <c r="AA29" i="12"/>
  <c r="AA30" i="12"/>
  <c r="AA28" i="12"/>
  <c r="AA31" i="12"/>
  <c r="Y31" i="12"/>
  <c r="Y29" i="12"/>
  <c r="Y28" i="12"/>
  <c r="Y30" i="12"/>
  <c r="W30" i="12"/>
  <c r="W31" i="12"/>
  <c r="W28" i="12"/>
  <c r="W29" i="12"/>
  <c r="T28" i="12"/>
  <c r="T29" i="12"/>
  <c r="T30" i="12"/>
  <c r="T31" i="12"/>
  <c r="X30" i="12"/>
  <c r="X31" i="12"/>
  <c r="X28" i="12"/>
  <c r="X29" i="12"/>
  <c r="V29" i="12"/>
  <c r="V30" i="12"/>
  <c r="V31" i="12"/>
  <c r="V28" i="12"/>
  <c r="U29" i="12"/>
  <c r="U28" i="12"/>
  <c r="U31" i="12"/>
  <c r="U30" i="12"/>
  <c r="AE28" i="10"/>
  <c r="AE31" i="10"/>
  <c r="AE29" i="10"/>
  <c r="AE30" i="10"/>
  <c r="AD30" i="10"/>
  <c r="AD31" i="10"/>
  <c r="AD28" i="10"/>
  <c r="AD29" i="10"/>
  <c r="AB29" i="10"/>
  <c r="AB30" i="10"/>
  <c r="AB31" i="10"/>
  <c r="AB28" i="10"/>
  <c r="AA29" i="10"/>
  <c r="AA30" i="10"/>
  <c r="AA31" i="10"/>
  <c r="AA28" i="10"/>
  <c r="Z28" i="10"/>
  <c r="Z29" i="10"/>
  <c r="Z30" i="10"/>
  <c r="Z31" i="10"/>
  <c r="AC30" i="10"/>
  <c r="AC31" i="10"/>
  <c r="AC28" i="10"/>
  <c r="AC29" i="10"/>
  <c r="U29" i="10"/>
  <c r="U30" i="10"/>
  <c r="U31" i="10"/>
  <c r="U28" i="10"/>
  <c r="Y31" i="10"/>
  <c r="Y29" i="10"/>
  <c r="Y28" i="10"/>
  <c r="Y30" i="10"/>
  <c r="X31" i="10"/>
  <c r="X28" i="10"/>
  <c r="X29" i="10"/>
  <c r="X30" i="10"/>
  <c r="W30" i="10"/>
  <c r="W29" i="10"/>
  <c r="W31" i="10"/>
  <c r="W28" i="10"/>
  <c r="T29" i="10"/>
  <c r="T30" i="10"/>
  <c r="T28" i="10"/>
  <c r="T31" i="10"/>
  <c r="V30" i="10"/>
  <c r="V29" i="10"/>
  <c r="V31" i="10"/>
  <c r="V28" i="10"/>
  <c r="AE31" i="1"/>
  <c r="AE28" i="1"/>
  <c r="AE29" i="1"/>
  <c r="AE30" i="1"/>
  <c r="AC30" i="1"/>
  <c r="AC31" i="1"/>
  <c r="AC28" i="1"/>
  <c r="AC29" i="1"/>
  <c r="AA29" i="1"/>
  <c r="AA30" i="1"/>
  <c r="AA31" i="1"/>
  <c r="AA28" i="1"/>
  <c r="AD30" i="1"/>
  <c r="AD31" i="1"/>
  <c r="AD28" i="1"/>
  <c r="AD29" i="1"/>
  <c r="AB29" i="1"/>
  <c r="AB31" i="1"/>
  <c r="AB30" i="1"/>
  <c r="AB28" i="1"/>
  <c r="Z28" i="1"/>
  <c r="Z30" i="1"/>
  <c r="Z31" i="1"/>
  <c r="Z29" i="1"/>
  <c r="Z34" i="1" s="1"/>
  <c r="Y31" i="1"/>
  <c r="Y29" i="1"/>
  <c r="Y30" i="1"/>
  <c r="Y28" i="1"/>
  <c r="V31" i="1"/>
  <c r="V30" i="1"/>
  <c r="V28" i="1"/>
  <c r="V29" i="1"/>
  <c r="X31" i="1"/>
  <c r="X28" i="1"/>
  <c r="X29" i="1"/>
  <c r="X30" i="1"/>
  <c r="T28" i="1"/>
  <c r="T30" i="1"/>
  <c r="T31" i="1"/>
  <c r="T29" i="1"/>
  <c r="T34" i="1" s="1"/>
  <c r="U29" i="1"/>
  <c r="U30" i="1"/>
  <c r="U31" i="1"/>
  <c r="U28" i="1"/>
  <c r="W30" i="1"/>
  <c r="W31" i="1"/>
  <c r="W28" i="1"/>
  <c r="W29" i="1"/>
  <c r="AC26" i="13"/>
  <c r="AD26" i="13"/>
  <c r="AB27" i="13"/>
  <c r="AC27" i="13"/>
  <c r="AE26" i="13"/>
  <c r="AD27" i="13"/>
  <c r="AE27" i="13"/>
  <c r="AB26" i="13"/>
  <c r="AD26" i="11"/>
  <c r="AC26" i="11"/>
  <c r="AE26" i="11"/>
  <c r="AB27" i="11"/>
  <c r="AC27" i="11"/>
  <c r="AD27" i="11"/>
  <c r="AE27" i="11"/>
  <c r="AB26" i="11"/>
  <c r="AC26" i="8"/>
  <c r="AD26" i="8"/>
  <c r="AE26" i="8"/>
  <c r="AC27" i="8"/>
  <c r="AB27" i="8"/>
  <c r="AD27" i="8"/>
  <c r="AE27" i="8"/>
  <c r="AB26" i="8"/>
  <c r="Y26" i="13"/>
  <c r="X27" i="13"/>
  <c r="AA26" i="13"/>
  <c r="Y27" i="13"/>
  <c r="Z27" i="13"/>
  <c r="Z26" i="13"/>
  <c r="AA27" i="13"/>
  <c r="X26" i="13"/>
  <c r="V26" i="13"/>
  <c r="W26" i="13"/>
  <c r="T27" i="13"/>
  <c r="U27" i="13"/>
  <c r="V27" i="13"/>
  <c r="U26" i="13"/>
  <c r="W27" i="13"/>
  <c r="T26" i="13"/>
  <c r="S26" i="13"/>
  <c r="Q26" i="13"/>
  <c r="R26" i="13"/>
  <c r="P27" i="13"/>
  <c r="Q27" i="13"/>
  <c r="R27" i="13"/>
  <c r="S27" i="13"/>
  <c r="P26" i="13"/>
  <c r="Y26" i="11"/>
  <c r="AA26" i="11"/>
  <c r="Z26" i="11"/>
  <c r="X27" i="11"/>
  <c r="Y27" i="11"/>
  <c r="Z27" i="11"/>
  <c r="AA27" i="11"/>
  <c r="X26" i="11"/>
  <c r="U26" i="11"/>
  <c r="T27" i="11"/>
  <c r="W26" i="11"/>
  <c r="U27" i="11"/>
  <c r="V26" i="11"/>
  <c r="V27" i="11"/>
  <c r="W27" i="11"/>
  <c r="T26" i="11"/>
  <c r="Q26" i="11"/>
  <c r="R26" i="11"/>
  <c r="P27" i="11"/>
  <c r="S26" i="11"/>
  <c r="Q27" i="11"/>
  <c r="R27" i="11"/>
  <c r="S27" i="11"/>
  <c r="P26" i="11"/>
  <c r="Y26" i="8"/>
  <c r="AA26" i="8"/>
  <c r="Z26" i="8"/>
  <c r="X27" i="8"/>
  <c r="Y27" i="8"/>
  <c r="AA27" i="8"/>
  <c r="Z27" i="8"/>
  <c r="X26" i="8"/>
  <c r="U26" i="8"/>
  <c r="V26" i="8"/>
  <c r="T26" i="8"/>
  <c r="W26" i="8"/>
  <c r="U27" i="8"/>
  <c r="T27" i="8"/>
  <c r="V27" i="8"/>
  <c r="W27" i="8"/>
  <c r="Q26" i="8"/>
  <c r="S26" i="8"/>
  <c r="P27" i="8"/>
  <c r="Q27" i="8"/>
  <c r="R26" i="8"/>
  <c r="R27" i="8"/>
  <c r="S27" i="8"/>
  <c r="P26" i="8"/>
  <c r="M26" i="13"/>
  <c r="N26" i="13"/>
  <c r="O26" i="13"/>
  <c r="L27" i="13"/>
  <c r="M27" i="13"/>
  <c r="O27" i="13"/>
  <c r="N27" i="13"/>
  <c r="L26" i="13"/>
  <c r="M26" i="11"/>
  <c r="L27" i="11"/>
  <c r="O26" i="11"/>
  <c r="M27" i="11"/>
  <c r="N26" i="11"/>
  <c r="N27" i="11"/>
  <c r="O27" i="11"/>
  <c r="L26" i="11"/>
  <c r="L26" i="8"/>
  <c r="N26" i="8"/>
  <c r="L27" i="8"/>
  <c r="M27" i="8"/>
  <c r="O26" i="8"/>
  <c r="N27" i="8"/>
  <c r="O27" i="8"/>
  <c r="M26" i="8"/>
  <c r="F26" i="11"/>
  <c r="F27" i="11"/>
  <c r="E26" i="11"/>
  <c r="E27" i="11"/>
  <c r="H27" i="11"/>
  <c r="I26" i="11"/>
  <c r="I27" i="11"/>
  <c r="J26" i="11"/>
  <c r="J27" i="11"/>
  <c r="K26" i="11"/>
  <c r="K27" i="11"/>
  <c r="D26" i="11"/>
  <c r="D27" i="11"/>
  <c r="G26" i="11"/>
  <c r="G27" i="11"/>
  <c r="H26" i="11"/>
  <c r="I26" i="13"/>
  <c r="J26" i="13"/>
  <c r="K26" i="13"/>
  <c r="H27" i="13"/>
  <c r="I27" i="13"/>
  <c r="J27" i="13"/>
  <c r="K27" i="13"/>
  <c r="H26" i="13"/>
  <c r="I26" i="8"/>
  <c r="K26" i="8"/>
  <c r="J26" i="8"/>
  <c r="H27" i="8"/>
  <c r="I27" i="8"/>
  <c r="J27" i="8"/>
  <c r="K27" i="8"/>
  <c r="H26" i="8"/>
  <c r="AG26" i="12"/>
  <c r="AO26" i="12"/>
  <c r="AG27" i="12"/>
  <c r="AO27" i="12"/>
  <c r="AH26" i="12"/>
  <c r="AH27" i="12"/>
  <c r="AP27" i="12"/>
  <c r="AF26" i="12"/>
  <c r="AN26" i="12"/>
  <c r="AF27" i="12"/>
  <c r="AN27" i="12"/>
  <c r="AP26" i="12"/>
  <c r="AI26" i="12"/>
  <c r="AQ26" i="12"/>
  <c r="AI27" i="12"/>
  <c r="AQ27" i="12"/>
  <c r="AJ26" i="12"/>
  <c r="AR26" i="12"/>
  <c r="AJ27" i="12"/>
  <c r="AR27" i="12"/>
  <c r="AK26" i="12"/>
  <c r="AS26" i="12"/>
  <c r="AK27" i="12"/>
  <c r="AS27" i="12"/>
  <c r="AL26" i="12"/>
  <c r="AL27" i="12"/>
  <c r="AT26" i="12"/>
  <c r="AT27" i="12"/>
  <c r="AM26" i="12"/>
  <c r="AU26" i="12"/>
  <c r="AM27" i="12"/>
  <c r="AU27" i="12"/>
  <c r="BD26" i="10"/>
  <c r="BC26" i="10"/>
  <c r="AW26" i="10"/>
  <c r="AW27" i="10"/>
  <c r="BE27" i="10"/>
  <c r="BE26" i="10"/>
  <c r="AX26" i="10"/>
  <c r="BF26" i="10"/>
  <c r="AX27" i="10"/>
  <c r="BF27" i="10"/>
  <c r="BG26" i="10"/>
  <c r="BG27" i="10"/>
  <c r="AU27" i="10"/>
  <c r="AY26" i="10"/>
  <c r="AY27" i="10"/>
  <c r="BC27" i="10"/>
  <c r="AV26" i="10"/>
  <c r="AU26" i="10"/>
  <c r="AV27" i="10"/>
  <c r="BH26" i="10"/>
  <c r="BH27" i="10"/>
  <c r="BA26" i="10"/>
  <c r="BI26" i="10"/>
  <c r="BI27" i="10"/>
  <c r="BD27" i="10"/>
  <c r="AZ26" i="10"/>
  <c r="AZ27" i="10"/>
  <c r="BA27" i="10"/>
  <c r="AT26" i="10"/>
  <c r="BB26" i="10"/>
  <c r="AT27" i="10"/>
  <c r="BB27" i="10"/>
  <c r="AQ27" i="1"/>
  <c r="BB27" i="1"/>
  <c r="AQ26" i="1"/>
  <c r="AY27" i="1"/>
  <c r="BB26" i="1"/>
  <c r="AR26" i="1"/>
  <c r="AY26" i="1"/>
  <c r="AZ26" i="1"/>
  <c r="AR27" i="1"/>
  <c r="AZ27" i="1"/>
  <c r="AS26" i="1"/>
  <c r="BA26" i="1"/>
  <c r="AS27" i="1"/>
  <c r="BA27" i="1"/>
  <c r="AT26" i="1"/>
  <c r="AU26" i="1"/>
  <c r="AU27" i="1"/>
  <c r="BD26" i="1"/>
  <c r="BD27" i="1"/>
  <c r="AW27" i="1"/>
  <c r="BE27" i="1"/>
  <c r="AT27" i="1"/>
  <c r="BC26" i="1"/>
  <c r="BC27" i="1"/>
  <c r="AV26" i="1"/>
  <c r="AV27" i="1"/>
  <c r="AW26" i="1"/>
  <c r="BE26" i="1"/>
  <c r="AP26" i="1"/>
  <c r="AX26" i="1"/>
  <c r="AP27" i="1"/>
  <c r="AX27" i="1"/>
  <c r="E27" i="1"/>
  <c r="E26" i="1"/>
  <c r="D27" i="13"/>
  <c r="E26" i="13"/>
  <c r="E27" i="13"/>
  <c r="D26" i="13"/>
  <c r="G26" i="13"/>
  <c r="F27" i="13"/>
  <c r="G27" i="13"/>
  <c r="F26" i="13"/>
  <c r="O26" i="12"/>
  <c r="P27" i="12"/>
  <c r="I26" i="12"/>
  <c r="H26" i="12"/>
  <c r="H27" i="12"/>
  <c r="Q26" i="12"/>
  <c r="K27" i="12"/>
  <c r="K26" i="12"/>
  <c r="M27" i="12"/>
  <c r="I27" i="12"/>
  <c r="S27" i="12"/>
  <c r="M26" i="12"/>
  <c r="N27" i="12"/>
  <c r="P26" i="12"/>
  <c r="R27" i="12"/>
  <c r="R26" i="12"/>
  <c r="L27" i="12"/>
  <c r="E27" i="12"/>
  <c r="E26" i="12"/>
  <c r="F27" i="12"/>
  <c r="Q27" i="12"/>
  <c r="J27" i="12"/>
  <c r="J26" i="12"/>
  <c r="S26" i="12"/>
  <c r="L26" i="12"/>
  <c r="F26" i="12"/>
  <c r="N26" i="12"/>
  <c r="G27" i="12"/>
  <c r="O27" i="12"/>
  <c r="G26" i="12"/>
  <c r="D27" i="12"/>
  <c r="D26" i="12"/>
  <c r="F26" i="7"/>
  <c r="H26" i="7"/>
  <c r="I27" i="7"/>
  <c r="I26" i="7"/>
  <c r="G27" i="7"/>
  <c r="H27" i="7"/>
  <c r="E26" i="7"/>
  <c r="G26" i="7"/>
  <c r="F27" i="7"/>
  <c r="E27" i="7"/>
  <c r="D26" i="7"/>
  <c r="D27" i="7"/>
  <c r="G27" i="8"/>
  <c r="AN26" i="8"/>
  <c r="AI27" i="8"/>
  <c r="AG26" i="8"/>
  <c r="AO26" i="8"/>
  <c r="AM27" i="8"/>
  <c r="E26" i="8"/>
  <c r="AK27" i="8"/>
  <c r="AF26" i="8"/>
  <c r="AL27" i="8"/>
  <c r="F26" i="8"/>
  <c r="AM26" i="8"/>
  <c r="AH26" i="8"/>
  <c r="AF27" i="8"/>
  <c r="AN27" i="8"/>
  <c r="G26" i="8"/>
  <c r="AI26" i="8"/>
  <c r="E27" i="8"/>
  <c r="AG27" i="8"/>
  <c r="AO27" i="8"/>
  <c r="AK26" i="8"/>
  <c r="AJ27" i="8"/>
  <c r="AJ26" i="8"/>
  <c r="F27" i="8"/>
  <c r="AH27" i="8"/>
  <c r="AL26" i="8"/>
  <c r="D27" i="8"/>
  <c r="D26" i="8"/>
  <c r="AT26" i="11"/>
  <c r="AK26" i="11"/>
  <c r="AS26" i="11"/>
  <c r="AH27" i="11"/>
  <c r="AG27" i="11"/>
  <c r="AO27" i="11"/>
  <c r="AN26" i="11"/>
  <c r="AI27" i="11"/>
  <c r="AH26" i="11"/>
  <c r="AJ27" i="11"/>
  <c r="AG26" i="11"/>
  <c r="AP26" i="11"/>
  <c r="AR27" i="11"/>
  <c r="AM27" i="11"/>
  <c r="AM26" i="11"/>
  <c r="AQ27" i="11"/>
  <c r="AQ26" i="11"/>
  <c r="AL26" i="11"/>
  <c r="AF26" i="11"/>
  <c r="AO26" i="11"/>
  <c r="AI26" i="11"/>
  <c r="AK27" i="11"/>
  <c r="AS27" i="11"/>
  <c r="AN27" i="11"/>
  <c r="AF27" i="11"/>
  <c r="AP27" i="11"/>
  <c r="AJ26" i="11"/>
  <c r="AR26" i="11"/>
  <c r="AL27" i="11"/>
  <c r="AT27" i="11"/>
  <c r="AN26" i="10"/>
  <c r="AG26" i="10"/>
  <c r="F26" i="10"/>
  <c r="N27" i="10"/>
  <c r="AP27" i="10"/>
  <c r="O27" i="10"/>
  <c r="H27" i="10"/>
  <c r="AI26" i="10"/>
  <c r="H26" i="10"/>
  <c r="AR26" i="10"/>
  <c r="AM27" i="10"/>
  <c r="K26" i="10"/>
  <c r="AH27" i="10"/>
  <c r="AF26" i="10"/>
  <c r="M26" i="10"/>
  <c r="AR27" i="10"/>
  <c r="P26" i="10"/>
  <c r="AJ26" i="10"/>
  <c r="K27" i="10"/>
  <c r="S27" i="10"/>
  <c r="AM26" i="10"/>
  <c r="G27" i="10"/>
  <c r="P27" i="10"/>
  <c r="AH26" i="10"/>
  <c r="AK27" i="10"/>
  <c r="G26" i="10"/>
  <c r="J27" i="10"/>
  <c r="AL27" i="10"/>
  <c r="Q26" i="10"/>
  <c r="AS26" i="10"/>
  <c r="AN27" i="10"/>
  <c r="S26" i="10"/>
  <c r="L26" i="10"/>
  <c r="AQ27" i="10"/>
  <c r="AO26" i="10"/>
  <c r="I27" i="10"/>
  <c r="AQ26" i="10"/>
  <c r="R27" i="10"/>
  <c r="I26" i="10"/>
  <c r="AK26" i="10"/>
  <c r="L27" i="10"/>
  <c r="AF27" i="10"/>
  <c r="AP26" i="10"/>
  <c r="F27" i="10"/>
  <c r="AI27" i="10"/>
  <c r="E26" i="10"/>
  <c r="AJ27" i="10"/>
  <c r="N26" i="10"/>
  <c r="Q27" i="10"/>
  <c r="AS27" i="10"/>
  <c r="O26" i="10"/>
  <c r="J26" i="10"/>
  <c r="R26" i="10"/>
  <c r="AL26" i="10"/>
  <c r="E27" i="10"/>
  <c r="M27" i="10"/>
  <c r="AG27" i="10"/>
  <c r="AO27" i="10"/>
  <c r="D26" i="10"/>
  <c r="D27" i="10"/>
  <c r="N27" i="1"/>
  <c r="R27" i="1"/>
  <c r="AH27" i="1"/>
  <c r="G27" i="1"/>
  <c r="AK27" i="1"/>
  <c r="O27" i="1"/>
  <c r="H27" i="1"/>
  <c r="AF27" i="1"/>
  <c r="AN27" i="1"/>
  <c r="AG27" i="1"/>
  <c r="F27" i="1"/>
  <c r="AI27" i="1"/>
  <c r="P27" i="1"/>
  <c r="AJ27" i="1"/>
  <c r="I27" i="1"/>
  <c r="Q27" i="1"/>
  <c r="J27" i="1"/>
  <c r="AL27" i="1"/>
  <c r="K27" i="1"/>
  <c r="S27" i="1"/>
  <c r="AM27" i="1"/>
  <c r="L27" i="1"/>
  <c r="M27" i="1"/>
  <c r="AO27" i="1"/>
  <c r="D27" i="1"/>
  <c r="G26" i="1"/>
  <c r="AM26" i="1"/>
  <c r="F26" i="1"/>
  <c r="AL26" i="1"/>
  <c r="AI26" i="1"/>
  <c r="AJ26" i="1"/>
  <c r="I26" i="1"/>
  <c r="AN26" i="1"/>
  <c r="N26" i="1"/>
  <c r="P26" i="1"/>
  <c r="Q26" i="1"/>
  <c r="R26" i="1"/>
  <c r="K26" i="1"/>
  <c r="AF26" i="1"/>
  <c r="AG26" i="1"/>
  <c r="AH26" i="1"/>
  <c r="O26" i="1"/>
  <c r="H26" i="1"/>
  <c r="AK26" i="1"/>
  <c r="J26" i="1"/>
  <c r="S26" i="1"/>
  <c r="L26" i="1"/>
  <c r="M26" i="1"/>
  <c r="AO26" i="1"/>
  <c r="D26" i="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F7" i="11"/>
  <c r="AJ7" i="8"/>
  <c r="AK7" i="8"/>
  <c r="AL7" i="8"/>
  <c r="AM7" i="8"/>
  <c r="AN7" i="8"/>
  <c r="AO7" i="8"/>
  <c r="AI7" i="8"/>
  <c r="AJ7" i="10"/>
  <c r="AK7" i="10"/>
  <c r="AL7" i="10"/>
  <c r="AM7" i="10"/>
  <c r="AN7" i="10"/>
  <c r="AO7" i="10"/>
  <c r="AP7" i="10"/>
  <c r="AQ7" i="10"/>
  <c r="AR7" i="10"/>
  <c r="AS7" i="10"/>
  <c r="AI7" i="10"/>
  <c r="D30" i="13" a="1"/>
  <c r="E29" i="7" a="1"/>
  <c r="F31" i="7" a="1"/>
  <c r="D28" i="13" a="1"/>
  <c r="I29" i="7" a="1"/>
  <c r="G31" i="7" a="1"/>
  <c r="E30" i="7" a="1"/>
  <c r="G31" i="13" a="1"/>
  <c r="I31" i="7" a="1"/>
  <c r="F30" i="13" a="1"/>
  <c r="H30" i="7" a="1"/>
  <c r="I28" i="7" a="1"/>
  <c r="G30" i="13" a="1"/>
  <c r="F29" i="7" a="1"/>
  <c r="E31" i="13" a="1"/>
  <c r="G30" i="7" a="1"/>
  <c r="E28" i="13" a="1"/>
  <c r="D31" i="7" a="1"/>
  <c r="D28" i="7" a="1"/>
  <c r="G29" i="7" a="1"/>
  <c r="D30" i="7" a="1"/>
  <c r="F29" i="13" a="1"/>
  <c r="E31" i="7" a="1"/>
  <c r="E28" i="7" a="1"/>
  <c r="H31" i="7" a="1"/>
  <c r="G28" i="7" a="1"/>
  <c r="F28" i="13" a="1"/>
  <c r="E29" i="13" a="1"/>
  <c r="F30" i="7" a="1"/>
  <c r="I30" i="7" a="1"/>
  <c r="G29" i="13" a="1"/>
  <c r="H29" i="7" a="1"/>
  <c r="F31" i="13" a="1"/>
  <c r="D29" i="7" a="1"/>
  <c r="E30" i="13" a="1"/>
  <c r="G28" i="13" a="1"/>
  <c r="H28" i="7" a="1"/>
  <c r="F28" i="7" a="1"/>
  <c r="D29" i="13" a="1"/>
  <c r="D31" i="13" a="1"/>
  <c r="AB29" i="13" a="1"/>
  <c r="AB31" i="13" a="1"/>
  <c r="AB28" i="13" a="1"/>
  <c r="AB30" i="13" a="1"/>
  <c r="AC29" i="13" a="1"/>
  <c r="AC31" i="13" a="1"/>
  <c r="AC30" i="13" a="1"/>
  <c r="AC28" i="13" a="1"/>
  <c r="AD28" i="13" a="1"/>
  <c r="AD30" i="13" a="1"/>
  <c r="AD29" i="13" a="1"/>
  <c r="AD31" i="13" a="1"/>
  <c r="AE30" i="13" a="1"/>
  <c r="AE28" i="13" a="1"/>
  <c r="AE29" i="13" a="1"/>
  <c r="AE31" i="13" a="1"/>
  <c r="AB29" i="11" a="1"/>
  <c r="AB31" i="11" a="1"/>
  <c r="AB28" i="11" a="1"/>
  <c r="AB30" i="11" a="1"/>
  <c r="AC30" i="11" a="1"/>
  <c r="AC28" i="11" a="1"/>
  <c r="AC29" i="11" a="1"/>
  <c r="AC31" i="11" a="1"/>
  <c r="AD28" i="11" a="1"/>
  <c r="AD30" i="11" a="1"/>
  <c r="AD29" i="11" a="1"/>
  <c r="AD31" i="11" a="1"/>
  <c r="AE30" i="11" a="1"/>
  <c r="AE28" i="11" a="1"/>
  <c r="AE29" i="11" a="1"/>
  <c r="AE31" i="11" a="1"/>
  <c r="AC28" i="8" a="1"/>
  <c r="AC30" i="8" a="1"/>
  <c r="AC29" i="8" a="1"/>
  <c r="AC31" i="8" a="1"/>
  <c r="AB31" i="8" a="1"/>
  <c r="AB29" i="8" a="1"/>
  <c r="AB28" i="8" a="1"/>
  <c r="AB30" i="8" a="1"/>
  <c r="AD30" i="8" a="1"/>
  <c r="AD31" i="8" a="1"/>
  <c r="AD28" i="8" a="1"/>
  <c r="AD29" i="8" a="1"/>
  <c r="AE30" i="8" a="1"/>
  <c r="AE29" i="8" a="1"/>
  <c r="AE31" i="8" a="1"/>
  <c r="AE28" i="8" a="1"/>
  <c r="J28" i="13" a="1"/>
  <c r="K30" i="13" a="1"/>
  <c r="K28" i="13" a="1"/>
  <c r="K29" i="13" a="1"/>
  <c r="I31" i="13" a="1"/>
  <c r="I29" i="13" a="1"/>
  <c r="I28" i="13" a="1"/>
  <c r="J30" i="13" a="1"/>
  <c r="I30" i="13" a="1"/>
  <c r="J29" i="13" a="1"/>
  <c r="K31" i="13" a="1"/>
  <c r="J31" i="13" a="1"/>
  <c r="H29" i="13" a="1"/>
  <c r="H30" i="13" a="1"/>
  <c r="H28" i="13" a="1"/>
  <c r="H31" i="13" a="1"/>
  <c r="X29" i="13" a="1"/>
  <c r="X31" i="13" a="1"/>
  <c r="X28" i="13" a="1"/>
  <c r="X30" i="13" a="1"/>
  <c r="Y30" i="13" a="1"/>
  <c r="Y28" i="13" a="1"/>
  <c r="Y29" i="13" a="1"/>
  <c r="Y31" i="13" a="1"/>
  <c r="Z30" i="13" a="1"/>
  <c r="Z28" i="13" a="1"/>
  <c r="Z29" i="13" a="1"/>
  <c r="Z31" i="13" a="1"/>
  <c r="AA30" i="13" a="1"/>
  <c r="AA28" i="13" a="1"/>
  <c r="AA31" i="13" a="1"/>
  <c r="AA29" i="13" a="1"/>
  <c r="T29" i="13" a="1"/>
  <c r="T31" i="13" a="1"/>
  <c r="T28" i="13" a="1"/>
  <c r="T30" i="13" a="1"/>
  <c r="U28" i="13" a="1"/>
  <c r="U31" i="13" a="1"/>
  <c r="U29" i="13" a="1"/>
  <c r="U30" i="13" a="1"/>
  <c r="V28" i="13" a="1"/>
  <c r="V30" i="13" a="1"/>
  <c r="V29" i="13" a="1"/>
  <c r="V31" i="13" a="1"/>
  <c r="W28" i="13" a="1"/>
  <c r="W30" i="13" a="1"/>
  <c r="W29" i="13" a="1"/>
  <c r="W31" i="13" a="1"/>
  <c r="P29" i="13" a="1"/>
  <c r="P31" i="13" a="1"/>
  <c r="P28" i="13" a="1"/>
  <c r="P30" i="13" a="1"/>
  <c r="Q30" i="13" a="1"/>
  <c r="Q28" i="13" a="1"/>
  <c r="Q29" i="13" a="1"/>
  <c r="Q31" i="13" a="1"/>
  <c r="R30" i="13" a="1"/>
  <c r="R28" i="13" a="1"/>
  <c r="R29" i="13" a="1"/>
  <c r="R31" i="13" a="1"/>
  <c r="S28" i="13" a="1"/>
  <c r="S30" i="13" a="1"/>
  <c r="S29" i="13" a="1"/>
  <c r="S31" i="13" a="1"/>
  <c r="Y30" i="11" a="1"/>
  <c r="Y28" i="11" a="1"/>
  <c r="Y31" i="11" a="1"/>
  <c r="Y29" i="11" a="1"/>
  <c r="X29" i="11" a="1"/>
  <c r="X31" i="11" a="1"/>
  <c r="X28" i="11" a="1"/>
  <c r="X30" i="11" a="1"/>
  <c r="Z30" i="11" a="1"/>
  <c r="Z28" i="11" a="1"/>
  <c r="Z29" i="11" a="1"/>
  <c r="Z31" i="11" a="1"/>
  <c r="AA28" i="11" a="1"/>
  <c r="AA30" i="11" a="1"/>
  <c r="AA29" i="11" a="1"/>
  <c r="AA31" i="11" a="1"/>
  <c r="T29" i="11" a="1"/>
  <c r="T31" i="11" a="1"/>
  <c r="T28" i="11" a="1"/>
  <c r="T30" i="11" a="1"/>
  <c r="U28" i="11" a="1"/>
  <c r="U30" i="11" a="1"/>
  <c r="U29" i="11" a="1"/>
  <c r="U31" i="11" a="1"/>
  <c r="V30" i="11" a="1"/>
  <c r="V28" i="11" a="1"/>
  <c r="V29" i="11" a="1"/>
  <c r="V31" i="11" a="1"/>
  <c r="W28" i="11" a="1"/>
  <c r="W30" i="11" a="1"/>
  <c r="W29" i="11" a="1"/>
  <c r="W31" i="11" a="1"/>
  <c r="P29" i="11" a="1"/>
  <c r="P31" i="11" a="1"/>
  <c r="P28" i="11" a="1"/>
  <c r="P30" i="11" a="1"/>
  <c r="Q28" i="11" a="1"/>
  <c r="Q30" i="11" a="1"/>
  <c r="Q31" i="11" a="1"/>
  <c r="Q29" i="11" a="1"/>
  <c r="R28" i="11" a="1"/>
  <c r="R30" i="11" a="1"/>
  <c r="R29" i="11" a="1"/>
  <c r="R31" i="11" a="1"/>
  <c r="S30" i="11" a="1"/>
  <c r="S28" i="11" a="1"/>
  <c r="S31" i="11" a="1"/>
  <c r="S29" i="11" a="1"/>
  <c r="X29" i="8" a="1"/>
  <c r="X31" i="8" a="1"/>
  <c r="X28" i="8" a="1"/>
  <c r="X30" i="8" a="1"/>
  <c r="Y28" i="8" a="1"/>
  <c r="Y30" i="8" a="1"/>
  <c r="Y31" i="8" a="1"/>
  <c r="Y29" i="8" a="1"/>
  <c r="AA28" i="8" a="1"/>
  <c r="AA30" i="8" a="1"/>
  <c r="AA29" i="8" a="1"/>
  <c r="AA31" i="8" a="1"/>
  <c r="Z28" i="8" a="1"/>
  <c r="Z30" i="8" a="1"/>
  <c r="Z29" i="8" a="1"/>
  <c r="Z31" i="8" a="1"/>
  <c r="U29" i="8" a="1"/>
  <c r="U31" i="8" a="1"/>
  <c r="U28" i="8" a="1"/>
  <c r="U30" i="8" a="1"/>
  <c r="T31" i="8" a="1"/>
  <c r="T29" i="8" a="1"/>
  <c r="T28" i="8" a="1"/>
  <c r="T30" i="8" a="1"/>
  <c r="V30" i="8" a="1"/>
  <c r="V28" i="8" a="1"/>
  <c r="V29" i="8" a="1"/>
  <c r="V31" i="8" a="1"/>
  <c r="W28" i="8" a="1"/>
  <c r="W30" i="8" a="1"/>
  <c r="W29" i="8" a="1"/>
  <c r="W31" i="8" a="1"/>
  <c r="P31" i="8" a="1"/>
  <c r="P29" i="8" a="1"/>
  <c r="P28" i="8" a="1"/>
  <c r="P30" i="8" a="1"/>
  <c r="Q29" i="8" a="1"/>
  <c r="Q31" i="8" a="1"/>
  <c r="Q30" i="8" a="1"/>
  <c r="Q28" i="8" a="1"/>
  <c r="R28" i="8" a="1"/>
  <c r="R31" i="8" a="1"/>
  <c r="R30" i="8" a="1"/>
  <c r="R29" i="8" a="1"/>
  <c r="S28" i="8" a="1"/>
  <c r="S30" i="8" a="1"/>
  <c r="S31" i="8" a="1"/>
  <c r="S29" i="8" a="1"/>
  <c r="L29" i="13" a="1"/>
  <c r="L31" i="13" a="1"/>
  <c r="L28" i="13" a="1"/>
  <c r="L30" i="13" a="1"/>
  <c r="M30" i="13" a="1"/>
  <c r="M28" i="13" a="1"/>
  <c r="M29" i="13" a="1"/>
  <c r="M31" i="13" a="1"/>
  <c r="O28" i="13" a="1"/>
  <c r="O30" i="13" a="1"/>
  <c r="O29" i="13" a="1"/>
  <c r="O31" i="13" a="1"/>
  <c r="N28" i="13" a="1"/>
  <c r="N30" i="13" a="1"/>
  <c r="N31" i="13" a="1"/>
  <c r="N29" i="13" a="1"/>
  <c r="L29" i="11" a="1"/>
  <c r="L31" i="11" a="1"/>
  <c r="L28" i="11" a="1"/>
  <c r="L30" i="11" a="1"/>
  <c r="M29" i="11" a="1"/>
  <c r="M31" i="11" a="1"/>
  <c r="M28" i="11" a="1"/>
  <c r="M30" i="11" a="1"/>
  <c r="N30" i="11" a="1"/>
  <c r="N28" i="11" a="1"/>
  <c r="N29" i="11" a="1"/>
  <c r="N31" i="11" a="1"/>
  <c r="O28" i="11" a="1"/>
  <c r="O30" i="11" a="1"/>
  <c r="O29" i="11" a="1"/>
  <c r="O31" i="11" a="1"/>
  <c r="AJ31" i="11" a="1"/>
  <c r="I31" i="11" a="1"/>
  <c r="AT29" i="11" a="1"/>
  <c r="AM30" i="11" a="1"/>
  <c r="AL31" i="11" a="1"/>
  <c r="AI31" i="11" a="1"/>
  <c r="G31" i="11" a="1"/>
  <c r="AP30" i="11" a="1"/>
  <c r="E30" i="11" a="1"/>
  <c r="AK30" i="11" a="1"/>
  <c r="K29" i="11" a="1"/>
  <c r="AQ31" i="11" a="1"/>
  <c r="F29" i="11" a="1"/>
  <c r="AO31" i="11" a="1"/>
  <c r="K30" i="11" a="1"/>
  <c r="AN28" i="11" a="1"/>
  <c r="AM29" i="11" a="1"/>
  <c r="E28" i="11" a="1"/>
  <c r="AI30" i="11" a="1"/>
  <c r="AF28" i="11" a="1"/>
  <c r="AM31" i="11" a="1"/>
  <c r="I30" i="11" a="1"/>
  <c r="AK28" i="11" a="1"/>
  <c r="H28" i="11" a="1"/>
  <c r="H30" i="11" a="1"/>
  <c r="AS30" i="11" a="1"/>
  <c r="D30" i="11" a="1"/>
  <c r="AF29" i="11" a="1"/>
  <c r="AR30" i="11" a="1"/>
  <c r="G30" i="11" a="1"/>
  <c r="AQ30" i="11" a="1"/>
  <c r="AI29" i="11" a="1"/>
  <c r="AM28" i="11" a="1"/>
  <c r="AH28" i="11" a="1"/>
  <c r="D28" i="11" a="1"/>
  <c r="AO28" i="11" a="1"/>
  <c r="AT28" i="11" a="1"/>
  <c r="H31" i="11" a="1"/>
  <c r="J29" i="11" a="1"/>
  <c r="AH30" i="11" a="1"/>
  <c r="AG31" i="11" a="1"/>
  <c r="AG28" i="11" a="1"/>
  <c r="AS31" i="11" a="1"/>
  <c r="AQ28" i="11" a="1"/>
  <c r="D31" i="11" a="1"/>
  <c r="AN29" i="11" a="1"/>
  <c r="G28" i="11" a="1"/>
  <c r="F30" i="11" a="1"/>
  <c r="AP29" i="11" a="1"/>
  <c r="AG29" i="11" a="1"/>
  <c r="E31" i="11" a="1"/>
  <c r="G29" i="11" a="1"/>
  <c r="AJ30" i="11" a="1"/>
  <c r="AO29" i="11" a="1"/>
  <c r="AL29" i="11" a="1"/>
  <c r="AP31" i="11" a="1"/>
  <c r="AH29" i="11" a="1"/>
  <c r="K31" i="11" a="1"/>
  <c r="AH31" i="11" a="1"/>
  <c r="AJ29" i="11" a="1"/>
  <c r="AS29" i="11" a="1"/>
  <c r="E29" i="11" a="1"/>
  <c r="AK31" i="11" a="1"/>
  <c r="D29" i="11" a="1"/>
  <c r="AJ28" i="11" a="1"/>
  <c r="AT30" i="11" a="1"/>
  <c r="AO30" i="11" a="1"/>
  <c r="AN31" i="11" a="1"/>
  <c r="H29" i="11" a="1"/>
  <c r="I28" i="11" a="1"/>
  <c r="AP28" i="11" a="1"/>
  <c r="AN30" i="11" a="1"/>
  <c r="F31" i="11" a="1"/>
  <c r="J31" i="11" a="1"/>
  <c r="AL28" i="11" a="1"/>
  <c r="J28" i="11" a="1"/>
  <c r="AF30" i="11" a="1"/>
  <c r="AL30" i="11" a="1"/>
  <c r="K28" i="11" a="1"/>
  <c r="AR31" i="11" a="1"/>
  <c r="F28" i="11" a="1"/>
  <c r="AR28" i="11" a="1"/>
  <c r="AS28" i="11" a="1"/>
  <c r="AK29" i="11" a="1"/>
  <c r="AG30" i="11" a="1"/>
  <c r="AQ29" i="11" a="1"/>
  <c r="J30" i="11" a="1"/>
  <c r="AF31" i="11" a="1"/>
  <c r="AT31" i="11" a="1"/>
  <c r="AI28" i="11" a="1"/>
  <c r="I29" i="11" a="1"/>
  <c r="AR29" i="11" a="1"/>
  <c r="L31" i="8" a="1"/>
  <c r="L28" i="8" a="1"/>
  <c r="L29" i="8" a="1"/>
  <c r="L30" i="8" a="1"/>
  <c r="M28" i="8" a="1"/>
  <c r="M30" i="8" a="1"/>
  <c r="M29" i="8" a="1"/>
  <c r="M31" i="8" a="1"/>
  <c r="N28" i="8" a="1"/>
  <c r="N30" i="8" a="1"/>
  <c r="N31" i="8" a="1"/>
  <c r="N29" i="8" a="1"/>
  <c r="O30" i="8" a="1"/>
  <c r="O28" i="8" a="1"/>
  <c r="O29" i="8" a="1"/>
  <c r="O31" i="8" a="1"/>
  <c r="AM28" i="8" a="1"/>
  <c r="AL31" i="8" a="1"/>
  <c r="F31" i="8" a="1"/>
  <c r="I31" i="8" a="1"/>
  <c r="AL28" i="8" a="1"/>
  <c r="AJ30" i="8" a="1"/>
  <c r="E29" i="8" a="1"/>
  <c r="D31" i="8" a="1"/>
  <c r="F29" i="8" a="1"/>
  <c r="AO30" i="8" a="1"/>
  <c r="AI31" i="8" a="1"/>
  <c r="AN30" i="8" a="1"/>
  <c r="H28" i="8" a="1"/>
  <c r="AF28" i="8" a="1"/>
  <c r="AL29" i="8" a="1"/>
  <c r="F28" i="8" a="1"/>
  <c r="AL30" i="8" a="1"/>
  <c r="E28" i="8" a="1"/>
  <c r="AK28" i="8" a="1"/>
  <c r="AI29" i="8" a="1"/>
  <c r="AK30" i="8" a="1"/>
  <c r="I29" i="8" a="1"/>
  <c r="AF30" i="8" a="1"/>
  <c r="AJ28" i="8" a="1"/>
  <c r="I30" i="8" a="1"/>
  <c r="AM29" i="8" a="1"/>
  <c r="H30" i="8" a="1"/>
  <c r="J30" i="8" a="1"/>
  <c r="J28" i="8" a="1"/>
  <c r="AG29" i="8" a="1"/>
  <c r="AH28" i="8" a="1"/>
  <c r="G29" i="8" a="1"/>
  <c r="G31" i="8" a="1"/>
  <c r="H31" i="8" a="1"/>
  <c r="AM31" i="8" a="1"/>
  <c r="AI30" i="8" a="1"/>
  <c r="I28" i="8" a="1"/>
  <c r="AO28" i="8" a="1"/>
  <c r="AH29" i="8" a="1"/>
  <c r="AN29" i="8" a="1"/>
  <c r="K29" i="8" a="1"/>
  <c r="K28" i="8" a="1"/>
  <c r="D28" i="8" a="1"/>
  <c r="H29" i="8" a="1"/>
  <c r="AJ29" i="8" a="1"/>
  <c r="D29" i="8" a="1"/>
  <c r="G30" i="8" a="1"/>
  <c r="AO29" i="8" a="1"/>
  <c r="AG28" i="8" a="1"/>
  <c r="AG31" i="8" a="1"/>
  <c r="AK31" i="8" a="1"/>
  <c r="D30" i="8" a="1"/>
  <c r="F30" i="8" a="1"/>
  <c r="AO31" i="8" a="1"/>
  <c r="AM30" i="8" a="1"/>
  <c r="AH31" i="8" a="1"/>
  <c r="K30" i="8" a="1"/>
  <c r="AJ31" i="8" a="1"/>
  <c r="AH30" i="8" a="1"/>
  <c r="AN31" i="8" a="1"/>
  <c r="J29" i="8" a="1"/>
  <c r="G28" i="8" a="1"/>
  <c r="J31" i="8" a="1"/>
  <c r="AF29" i="8" a="1"/>
  <c r="E30" i="8" a="1"/>
  <c r="AG30" i="8" a="1"/>
  <c r="AF31" i="8" a="1"/>
  <c r="K31" i="8" a="1"/>
  <c r="AN28" i="8" a="1"/>
  <c r="E31" i="8" a="1"/>
  <c r="AK29" i="8" a="1"/>
  <c r="AI28" i="8" a="1"/>
  <c r="AM31" i="12" a="1"/>
  <c r="AP31" i="12" a="1"/>
  <c r="M30" i="12" a="1"/>
  <c r="AM30" i="12" a="1"/>
  <c r="AU30" i="12" a="1"/>
  <c r="O30" i="12" a="1"/>
  <c r="N31" i="12" a="1"/>
  <c r="F31" i="12" a="1"/>
  <c r="AF28" i="12" a="1"/>
  <c r="F28" i="12" a="1"/>
  <c r="O28" i="12" a="1"/>
  <c r="G28" i="12" a="1"/>
  <c r="AF29" i="12" a="1"/>
  <c r="AL31" i="12" a="1"/>
  <c r="O29" i="12" a="1"/>
  <c r="L29" i="12" a="1"/>
  <c r="AJ29" i="12" a="1"/>
  <c r="AR28" i="12" a="1"/>
  <c r="L31" i="12" a="1"/>
  <c r="G29" i="12" a="1"/>
  <c r="H30" i="12" a="1"/>
  <c r="AI30" i="12" a="1"/>
  <c r="AK29" i="12" a="1"/>
  <c r="P30" i="12" a="1"/>
  <c r="AN30" i="12" a="1"/>
  <c r="AJ30" i="12" a="1"/>
  <c r="AG29" i="12" a="1"/>
  <c r="J28" i="12" a="1"/>
  <c r="AH30" i="12" a="1"/>
  <c r="AN28" i="12" a="1"/>
  <c r="AQ29" i="12" a="1"/>
  <c r="AT30" i="12" a="1"/>
  <c r="P28" i="12" a="1"/>
  <c r="I29" i="12" a="1"/>
  <c r="Q28" i="12" a="1"/>
  <c r="I30" i="12" a="1"/>
  <c r="M31" i="12" a="1"/>
  <c r="L28" i="12" a="1"/>
  <c r="O31" i="12" a="1"/>
  <c r="AQ30" i="12" a="1"/>
  <c r="E30" i="12" a="1"/>
  <c r="AF31" i="12" a="1"/>
  <c r="Q31" i="12" a="1"/>
  <c r="F29" i="12" a="1"/>
  <c r="N30" i="12" a="1"/>
  <c r="AO31" i="12" a="1"/>
  <c r="AR31" i="12" a="1"/>
  <c r="H31" i="12" a="1"/>
  <c r="AP28" i="12" a="1"/>
  <c r="J30" i="12" a="1"/>
  <c r="S30" i="12" a="1"/>
  <c r="R28" i="12" a="1"/>
  <c r="E31" i="12" a="1"/>
  <c r="AG31" i="12" a="1"/>
  <c r="AO28" i="12" a="1"/>
  <c r="AI31" i="12" a="1"/>
  <c r="AU28" i="12" a="1"/>
  <c r="D30" i="12" a="1"/>
  <c r="Q29" i="12" a="1"/>
  <c r="AK28" i="12" a="1"/>
  <c r="Q30" i="12" a="1"/>
  <c r="E29" i="12" a="1"/>
  <c r="AT29" i="12" a="1"/>
  <c r="AU29" i="12" a="1"/>
  <c r="AH28" i="12" a="1"/>
  <c r="AJ31" i="12" a="1"/>
  <c r="AP29" i="12" a="1"/>
  <c r="AS30" i="12" a="1"/>
  <c r="R29" i="12" a="1"/>
  <c r="M29" i="12" a="1"/>
  <c r="AO30" i="12" a="1"/>
  <c r="K29" i="12" a="1"/>
  <c r="AT31" i="12" a="1"/>
  <c r="K30" i="12" a="1"/>
  <c r="AG30" i="12" a="1"/>
  <c r="L30" i="12" a="1"/>
  <c r="AH31" i="12" a="1"/>
  <c r="AS28" i="12" a="1"/>
  <c r="AT28" i="12" a="1"/>
  <c r="P29" i="12" a="1"/>
  <c r="AH29" i="12" a="1"/>
  <c r="AR29" i="12" a="1"/>
  <c r="N28" i="12" a="1"/>
  <c r="K28" i="12" a="1"/>
  <c r="S28" i="12" a="1"/>
  <c r="D31" i="12" a="1"/>
  <c r="G30" i="12" a="1"/>
  <c r="AN29" i="12" a="1"/>
  <c r="H28" i="12" a="1"/>
  <c r="J31" i="12" a="1"/>
  <c r="J29" i="12" a="1"/>
  <c r="S29" i="12" a="1"/>
  <c r="AJ28" i="12" a="1"/>
  <c r="K31" i="12" a="1"/>
  <c r="AR30" i="12" a="1"/>
  <c r="AL28" i="12" a="1"/>
  <c r="AQ31" i="12" a="1"/>
  <c r="AM28" i="12" a="1"/>
  <c r="AN31" i="12" a="1"/>
  <c r="AI29" i="12" a="1"/>
  <c r="AL29" i="12" a="1"/>
  <c r="AS29" i="12" a="1"/>
  <c r="M28" i="12" a="1"/>
  <c r="AU31" i="12" a="1"/>
  <c r="R31" i="12" a="1"/>
  <c r="N29" i="12" a="1"/>
  <c r="S31" i="12" a="1"/>
  <c r="G31" i="12" a="1"/>
  <c r="AG28" i="12" a="1"/>
  <c r="AL30" i="12" a="1"/>
  <c r="I28" i="12" a="1"/>
  <c r="AO29" i="12" a="1"/>
  <c r="R30" i="12" a="1"/>
  <c r="D28" i="12" a="1"/>
  <c r="AP30" i="12" a="1"/>
  <c r="AM29" i="12" a="1"/>
  <c r="AI28" i="12" a="1"/>
  <c r="D29" i="12" a="1"/>
  <c r="E28" i="12" a="1"/>
  <c r="AS31" i="12" a="1"/>
  <c r="AK31" i="12" a="1"/>
  <c r="AQ28" i="12" a="1"/>
  <c r="F30" i="12" a="1"/>
  <c r="I31" i="12" a="1"/>
  <c r="AF30" i="12" a="1"/>
  <c r="AK30" i="12" a="1"/>
  <c r="H29" i="12" a="1"/>
  <c r="P31" i="12" a="1"/>
  <c r="H30" i="1" a="1"/>
  <c r="AN29" i="1" a="1"/>
  <c r="AN31" i="1" a="1"/>
  <c r="E30" i="1" a="1"/>
  <c r="AQ31" i="1" a="1"/>
  <c r="AX29" i="1" a="1"/>
  <c r="F30" i="1" a="1"/>
  <c r="Q29" i="1" a="1"/>
  <c r="AI28" i="1" a="1"/>
  <c r="K30" i="1" a="1"/>
  <c r="AU29" i="1" a="1"/>
  <c r="AQ30" i="1" a="1"/>
  <c r="AU28" i="1" a="1"/>
  <c r="BB31" i="1" a="1"/>
  <c r="AP30" i="1" a="1"/>
  <c r="AJ29" i="1" a="1"/>
  <c r="Q31" i="1" a="1"/>
  <c r="AL29" i="1" a="1"/>
  <c r="BB28" i="1" a="1"/>
  <c r="AM28" i="1" a="1"/>
  <c r="M29" i="1" a="1"/>
  <c r="BD28" i="1" a="1"/>
  <c r="O28" i="1" a="1"/>
  <c r="AQ28" i="1" a="1"/>
  <c r="AM31" i="1" a="1"/>
  <c r="N31" i="1" a="1"/>
  <c r="AH29" i="1" a="1"/>
  <c r="AF28" i="1" a="1"/>
  <c r="BB29" i="1" a="1"/>
  <c r="BC31" i="1" a="1"/>
  <c r="AZ30" i="1" a="1"/>
  <c r="D31" i="1" a="1"/>
  <c r="AT29" i="1" a="1"/>
  <c r="BA28" i="1" a="1"/>
  <c r="S30" i="1" a="1"/>
  <c r="E28" i="1" a="1"/>
  <c r="N28" i="1" a="1"/>
  <c r="AF31" i="1" a="1"/>
  <c r="AX30" i="1" a="1"/>
  <c r="BD30" i="1" a="1"/>
  <c r="O30" i="1" a="1"/>
  <c r="K29" i="1" a="1"/>
  <c r="AY29" i="1" a="1"/>
  <c r="AJ31" i="1" a="1"/>
  <c r="H28" i="1" a="1"/>
  <c r="AS31" i="1" a="1"/>
  <c r="R30" i="1" a="1"/>
  <c r="D30" i="1" a="1"/>
  <c r="BC28" i="1" a="1"/>
  <c r="BA29" i="1" a="1"/>
  <c r="AH31" i="1" a="1"/>
  <c r="AJ28" i="1" a="1"/>
  <c r="AK31" i="1" a="1"/>
  <c r="G31" i="1" a="1"/>
  <c r="AU30" i="1" a="1"/>
  <c r="O31" i="1" a="1"/>
  <c r="AG28" i="1" a="1"/>
  <c r="AW29" i="1" a="1"/>
  <c r="H31" i="1" a="1"/>
  <c r="AN28" i="1" a="1"/>
  <c r="M31" i="1" a="1"/>
  <c r="AK30" i="1" a="1"/>
  <c r="AV28" i="1" a="1"/>
  <c r="G30" i="1" a="1"/>
  <c r="BB30" i="1" a="1"/>
  <c r="AI29" i="1" a="1"/>
  <c r="AX28" i="1" a="1"/>
  <c r="H29" i="1" a="1"/>
  <c r="S29" i="1" a="1"/>
  <c r="AZ28" i="1" a="1"/>
  <c r="E29" i="1" a="1"/>
  <c r="O29" i="1" a="1"/>
  <c r="AS30" i="1" a="1"/>
  <c r="Q30" i="1" a="1"/>
  <c r="AW28" i="1" a="1"/>
  <c r="AQ29" i="1" a="1"/>
  <c r="AH30" i="1" a="1"/>
  <c r="F31" i="1" a="1"/>
  <c r="AT30" i="1" a="1"/>
  <c r="AF29" i="1" a="1"/>
  <c r="AT28" i="1" a="1"/>
  <c r="AU31" i="1" a="1"/>
  <c r="AP31" i="1" a="1"/>
  <c r="AW31" i="1" a="1"/>
  <c r="BE30" i="1" a="1"/>
  <c r="F29" i="1" a="1"/>
  <c r="J30" i="1" a="1"/>
  <c r="AK29" i="1" a="1"/>
  <c r="S28" i="1" a="1"/>
  <c r="AV31" i="1" a="1"/>
  <c r="AX31" i="1" a="1"/>
  <c r="L30" i="1" a="1"/>
  <c r="R31" i="1" a="1"/>
  <c r="BE29" i="1" a="1"/>
  <c r="AF30" i="1" a="1"/>
  <c r="AR29" i="1" a="1"/>
  <c r="AI31" i="1" a="1"/>
  <c r="I31" i="1" a="1"/>
  <c r="P29" i="1" a="1"/>
  <c r="K31" i="1" a="1"/>
  <c r="AP28" i="1" a="1"/>
  <c r="K28" i="1" a="1"/>
  <c r="BC30" i="1" a="1"/>
  <c r="AR31" i="1" a="1"/>
  <c r="AG31" i="1" a="1"/>
  <c r="M28" i="1" a="1"/>
  <c r="L31" i="1" a="1"/>
  <c r="AM30" i="1" a="1"/>
  <c r="J28" i="1" a="1"/>
  <c r="AS28" i="1" a="1"/>
  <c r="AL30" i="1" a="1"/>
  <c r="L29" i="1" a="1"/>
  <c r="AY31" i="1" a="1"/>
  <c r="AG29" i="1" a="1"/>
  <c r="AK28" i="1" a="1"/>
  <c r="AZ29" i="1" a="1"/>
  <c r="G28" i="1" a="1"/>
  <c r="AP29" i="1" a="1"/>
  <c r="G29" i="1" a="1"/>
  <c r="R29" i="1" a="1"/>
  <c r="AR30" i="1" a="1"/>
  <c r="L28" i="1" a="1"/>
  <c r="BA30" i="1" a="1"/>
  <c r="N30" i="1" a="1"/>
  <c r="BC29" i="1" a="1"/>
  <c r="AJ30" i="1" a="1"/>
  <c r="AR28" i="1" a="1"/>
  <c r="AZ31" i="1" a="1"/>
  <c r="P31" i="1" a="1"/>
  <c r="AT31" i="1" a="1"/>
  <c r="N29" i="1" a="1"/>
  <c r="AV30" i="1" a="1"/>
  <c r="J29" i="1" a="1"/>
  <c r="AM29" i="1" a="1"/>
  <c r="AI30" i="1" a="1"/>
  <c r="BD31" i="1" a="1"/>
  <c r="BE28" i="1" a="1"/>
  <c r="P30" i="1" a="1"/>
  <c r="AH28" i="1" a="1"/>
  <c r="AW30" i="1" a="1"/>
  <c r="E31" i="1" a="1"/>
  <c r="AS29" i="1" a="1"/>
  <c r="S31" i="1" a="1"/>
  <c r="AN30" i="1" a="1"/>
  <c r="I29" i="1" a="1"/>
  <c r="AV29" i="1" a="1"/>
  <c r="Q28" i="1" a="1"/>
  <c r="J31" i="1" a="1"/>
  <c r="AL28" i="1" a="1"/>
  <c r="P28" i="1" a="1"/>
  <c r="AY30" i="1" a="1"/>
  <c r="I30" i="1" a="1"/>
  <c r="R28" i="1" a="1"/>
  <c r="AY28" i="1" a="1"/>
  <c r="D29" i="1" a="1"/>
  <c r="BE31" i="1" a="1"/>
  <c r="M30" i="1" a="1"/>
  <c r="F28" i="1" a="1"/>
  <c r="AL31" i="1" a="1"/>
  <c r="AG30" i="1" a="1"/>
  <c r="BA31" i="1" a="1"/>
  <c r="I28" i="1" a="1"/>
  <c r="BD29" i="1" a="1"/>
  <c r="D30" i="10" a="1"/>
  <c r="AZ30" i="10" a="1"/>
  <c r="K29" i="10" a="1"/>
  <c r="BG29" i="10" a="1"/>
  <c r="M28" i="10" a="1"/>
  <c r="BI29" i="10" a="1"/>
  <c r="AH28" i="10" a="1"/>
  <c r="AM31" i="10" a="1"/>
  <c r="BE30" i="10" a="1"/>
  <c r="L31" i="10" a="1"/>
  <c r="BD28" i="10" a="1"/>
  <c r="AN30" i="10" a="1"/>
  <c r="AO29" i="10" a="1"/>
  <c r="AM30" i="10" a="1"/>
  <c r="AT29" i="10" a="1"/>
  <c r="AH31" i="10" a="1"/>
  <c r="AU29" i="10" a="1"/>
  <c r="AW29" i="10" a="1"/>
  <c r="J29" i="10" a="1"/>
  <c r="AV31" i="10" a="1"/>
  <c r="N29" i="10" a="1"/>
  <c r="BI28" i="10" a="1"/>
  <c r="P28" i="10" a="1"/>
  <c r="BC30" i="10" a="1"/>
  <c r="BG28" i="10" a="1"/>
  <c r="AL29" i="10" a="1"/>
  <c r="AX28" i="10" a="1"/>
  <c r="BC31" i="10" a="1"/>
  <c r="AP30" i="10" a="1"/>
  <c r="BD30" i="10" a="1"/>
  <c r="H30" i="10" a="1"/>
  <c r="AI30" i="10" a="1"/>
  <c r="Q28" i="10" a="1"/>
  <c r="AV29" i="10" a="1"/>
  <c r="AI31" i="10" a="1"/>
  <c r="AL28" i="10" a="1"/>
  <c r="F31" i="10" a="1"/>
  <c r="Q29" i="10" a="1"/>
  <c r="AK29" i="10" a="1"/>
  <c r="AH29" i="10" a="1"/>
  <c r="AQ31" i="10" a="1"/>
  <c r="D29" i="10" a="1"/>
  <c r="J28" i="10" a="1"/>
  <c r="AZ31" i="10" a="1"/>
  <c r="S30" i="10" a="1"/>
  <c r="AU28" i="10" a="1"/>
  <c r="BB28" i="10" a="1"/>
  <c r="AL31" i="10" a="1"/>
  <c r="AU30" i="10" a="1"/>
  <c r="AI28" i="10" a="1"/>
  <c r="AR31" i="10" a="1"/>
  <c r="O28" i="10" a="1"/>
  <c r="F29" i="10" a="1"/>
  <c r="AN29" i="10" a="1"/>
  <c r="N30" i="10" a="1"/>
  <c r="M31" i="10" a="1"/>
  <c r="P30" i="10" a="1"/>
  <c r="BD31" i="10" a="1"/>
  <c r="F28" i="10" a="1"/>
  <c r="AR28" i="10" a="1"/>
  <c r="AT31" i="10" a="1"/>
  <c r="E30" i="10" a="1"/>
  <c r="O31" i="10" a="1"/>
  <c r="M30" i="10" a="1"/>
  <c r="AK31" i="10" a="1"/>
  <c r="AZ28" i="10" a="1"/>
  <c r="AN31" i="10" a="1"/>
  <c r="AI29" i="10" a="1"/>
  <c r="R30" i="10" a="1"/>
  <c r="H28" i="10" a="1"/>
  <c r="Q30" i="10" a="1"/>
  <c r="D28" i="10" a="1"/>
  <c r="AG29" i="10" a="1"/>
  <c r="K30" i="10" a="1"/>
  <c r="BE29" i="10" a="1"/>
  <c r="S31" i="10" a="1"/>
  <c r="AN28" i="10" a="1"/>
  <c r="AX31" i="10" a="1"/>
  <c r="G30" i="10" a="1"/>
  <c r="AQ29" i="10" a="1"/>
  <c r="AT28" i="10" a="1"/>
  <c r="AO31" i="10" a="1"/>
  <c r="AK28" i="10" a="1"/>
  <c r="AF29" i="10" a="1"/>
  <c r="AF28" i="10" a="1"/>
  <c r="AL30" i="10" a="1"/>
  <c r="BE28" i="10" a="1"/>
  <c r="AW28" i="10" a="1"/>
  <c r="AG31" i="10" a="1"/>
  <c r="AS28" i="10" a="1"/>
  <c r="I31" i="10" a="1"/>
  <c r="AY28" i="10" a="1"/>
  <c r="E31" i="10" a="1"/>
  <c r="BE31" i="10" a="1"/>
  <c r="BB30" i="10" a="1"/>
  <c r="AO28" i="10" a="1"/>
  <c r="BB31" i="10" a="1"/>
  <c r="BC29" i="10" a="1"/>
  <c r="AR30" i="10" a="1"/>
  <c r="BF28" i="10" a="1"/>
  <c r="N31" i="10" a="1"/>
  <c r="BA28" i="10" a="1"/>
  <c r="AF31" i="10" a="1"/>
  <c r="AS30" i="10" a="1"/>
  <c r="AR29" i="10" a="1"/>
  <c r="O30" i="10" a="1"/>
  <c r="H31" i="10" a="1"/>
  <c r="D31" i="10" a="1"/>
  <c r="F30" i="10" a="1"/>
  <c r="AJ30" i="10" a="1"/>
  <c r="L29" i="10" a="1"/>
  <c r="AH30" i="10" a="1"/>
  <c r="AX30" i="10" a="1"/>
  <c r="AG28" i="10" a="1"/>
  <c r="R28" i="10" a="1"/>
  <c r="J30" i="10" a="1"/>
  <c r="BF29" i="10" a="1"/>
  <c r="AO30" i="10" a="1"/>
  <c r="AM29" i="10" a="1"/>
  <c r="AM28" i="10" a="1"/>
  <c r="L28" i="10" a="1"/>
  <c r="BH31" i="10" a="1"/>
  <c r="Q31" i="10" a="1"/>
  <c r="I28" i="10" a="1"/>
  <c r="AU31" i="10" a="1"/>
  <c r="BH30" i="10" a="1"/>
  <c r="BD29" i="10" a="1"/>
  <c r="BI31" i="10" a="1"/>
  <c r="G31" i="10" a="1"/>
  <c r="AQ30" i="10" a="1"/>
  <c r="AY29" i="10" a="1"/>
  <c r="AY30" i="10" a="1"/>
  <c r="AP28" i="10" a="1"/>
  <c r="BI30" i="10" a="1"/>
  <c r="J31" i="10" a="1"/>
  <c r="BH28" i="10" a="1"/>
  <c r="AW31" i="10" a="1"/>
  <c r="AP29" i="10" a="1"/>
  <c r="AZ29" i="10" a="1"/>
  <c r="E28" i="10" a="1"/>
  <c r="I29" i="10" a="1"/>
  <c r="AW30" i="10" a="1"/>
  <c r="AY31" i="10" a="1"/>
  <c r="AV30" i="10" a="1"/>
  <c r="R29" i="10" a="1"/>
  <c r="BB29" i="10" a="1"/>
  <c r="BA31" i="10" a="1"/>
  <c r="R31" i="10" a="1"/>
  <c r="AX29" i="10" a="1"/>
  <c r="BF30" i="10" a="1"/>
  <c r="AJ28" i="10" a="1"/>
  <c r="AS29" i="10" a="1"/>
  <c r="AS31" i="10" a="1"/>
  <c r="AK30" i="10" a="1"/>
  <c r="AT30" i="10" a="1"/>
  <c r="BH29" i="10" a="1"/>
  <c r="P29" i="10" a="1"/>
  <c r="K31" i="10" a="1"/>
  <c r="AJ29" i="10" a="1"/>
  <c r="S29" i="10" a="1"/>
  <c r="BA30" i="10" a="1"/>
  <c r="N28" i="10" a="1"/>
  <c r="AP31" i="10" a="1"/>
  <c r="BC28" i="10" a="1"/>
  <c r="M29" i="10" a="1"/>
  <c r="AV28" i="10" a="1"/>
  <c r="P31" i="10" a="1"/>
  <c r="O29" i="10" a="1"/>
  <c r="AF30" i="10" a="1"/>
  <c r="G29" i="10" a="1"/>
  <c r="G28" i="10" a="1"/>
  <c r="BG31" i="10" a="1"/>
  <c r="BG30" i="10" a="1"/>
  <c r="S28" i="10" a="1"/>
  <c r="K28" i="10" a="1"/>
  <c r="E29" i="10" a="1"/>
  <c r="BF31" i="10" a="1"/>
  <c r="AQ28" i="10" a="1"/>
  <c r="AG30" i="10" a="1"/>
  <c r="I30" i="10" a="1"/>
  <c r="L30" i="10" a="1"/>
  <c r="AJ31" i="10" a="1"/>
  <c r="H29" i="10" a="1"/>
  <c r="BA29" i="10" a="1"/>
  <c r="D29" i="10" l="1"/>
  <c r="Z34" i="12"/>
  <c r="T34" i="12"/>
  <c r="T34" i="10"/>
  <c r="Z34" i="10"/>
  <c r="AE31" i="13"/>
  <c r="AE29" i="13"/>
  <c r="AE28" i="13"/>
  <c r="AE30" i="13"/>
  <c r="AD31" i="13"/>
  <c r="AD29" i="13"/>
  <c r="AD30" i="13"/>
  <c r="AD28" i="13"/>
  <c r="AC28" i="13"/>
  <c r="AC30" i="13"/>
  <c r="AC31" i="13"/>
  <c r="AC29" i="13"/>
  <c r="AB30" i="13"/>
  <c r="AB28" i="13"/>
  <c r="AB31" i="13"/>
  <c r="AB29" i="13"/>
  <c r="AB34" i="13" s="1"/>
  <c r="AE31" i="11"/>
  <c r="AE29" i="11"/>
  <c r="AE28" i="11"/>
  <c r="AE30" i="11"/>
  <c r="AD31" i="11"/>
  <c r="AD29" i="11"/>
  <c r="AD30" i="11"/>
  <c r="AD28" i="11"/>
  <c r="AC31" i="11"/>
  <c r="AC29" i="11"/>
  <c r="AC28" i="11"/>
  <c r="AC30" i="11"/>
  <c r="AB30" i="11"/>
  <c r="AB28" i="11"/>
  <c r="AB31" i="11"/>
  <c r="AB29" i="11"/>
  <c r="AB34" i="11" s="1"/>
  <c r="AE28" i="8"/>
  <c r="AE31" i="8"/>
  <c r="AE29" i="8"/>
  <c r="AE30" i="8"/>
  <c r="AD29" i="8"/>
  <c r="AD28" i="8"/>
  <c r="AD31" i="8"/>
  <c r="AD30" i="8"/>
  <c r="AB30" i="8"/>
  <c r="AB28" i="8"/>
  <c r="AB29" i="8"/>
  <c r="AB31" i="8"/>
  <c r="AC31" i="8"/>
  <c r="AC29" i="8"/>
  <c r="AC30" i="8"/>
  <c r="AC28" i="8"/>
  <c r="AA29" i="13"/>
  <c r="AA31" i="13"/>
  <c r="AA28" i="13"/>
  <c r="AA30" i="13"/>
  <c r="Z31" i="13"/>
  <c r="Z29" i="13"/>
  <c r="Z28" i="13"/>
  <c r="Z30" i="13"/>
  <c r="Y31" i="13"/>
  <c r="Y29" i="13"/>
  <c r="Y28" i="13"/>
  <c r="Y30" i="13"/>
  <c r="X30" i="13"/>
  <c r="X28" i="13"/>
  <c r="X31" i="13"/>
  <c r="X29" i="13"/>
  <c r="W31" i="13"/>
  <c r="W29" i="13"/>
  <c r="W30" i="13"/>
  <c r="W28" i="13"/>
  <c r="V31" i="13"/>
  <c r="V29" i="13"/>
  <c r="V30" i="13"/>
  <c r="V28" i="13"/>
  <c r="U30" i="13"/>
  <c r="U29" i="13"/>
  <c r="U31" i="13"/>
  <c r="U28" i="13"/>
  <c r="T30" i="13"/>
  <c r="T28" i="13"/>
  <c r="T31" i="13"/>
  <c r="T29" i="13"/>
  <c r="S31" i="13"/>
  <c r="S29" i="13"/>
  <c r="S30" i="13"/>
  <c r="S28" i="13"/>
  <c r="R31" i="13"/>
  <c r="R29" i="13"/>
  <c r="R28" i="13"/>
  <c r="R30" i="13"/>
  <c r="Q31" i="13"/>
  <c r="Q29" i="13"/>
  <c r="Q28" i="13"/>
  <c r="Q30" i="13"/>
  <c r="P30" i="13"/>
  <c r="P28" i="13"/>
  <c r="P31" i="13"/>
  <c r="P29" i="13"/>
  <c r="P34" i="13" s="1"/>
  <c r="AA31" i="11"/>
  <c r="AA29" i="11"/>
  <c r="AA30" i="11"/>
  <c r="AA28" i="11"/>
  <c r="Z31" i="11"/>
  <c r="Z29" i="11"/>
  <c r="Z28" i="11"/>
  <c r="Z30" i="11"/>
  <c r="X30" i="11"/>
  <c r="X28" i="11"/>
  <c r="X31" i="11"/>
  <c r="X29" i="11"/>
  <c r="Y29" i="11"/>
  <c r="Y31" i="11"/>
  <c r="Y28" i="11"/>
  <c r="Y30" i="11"/>
  <c r="W31" i="11"/>
  <c r="W29" i="11"/>
  <c r="W30" i="11"/>
  <c r="W28" i="11"/>
  <c r="V31" i="11"/>
  <c r="V29" i="11"/>
  <c r="V28" i="11"/>
  <c r="V30" i="11"/>
  <c r="U31" i="11"/>
  <c r="U29" i="11"/>
  <c r="U30" i="11"/>
  <c r="U28" i="11"/>
  <c r="T30" i="11"/>
  <c r="T28" i="11"/>
  <c r="T31" i="11"/>
  <c r="T29" i="11"/>
  <c r="T34" i="11" s="1"/>
  <c r="S29" i="11"/>
  <c r="S31" i="11"/>
  <c r="S28" i="11"/>
  <c r="S30" i="11"/>
  <c r="R31" i="11"/>
  <c r="R29" i="11"/>
  <c r="R30" i="11"/>
  <c r="R28" i="11"/>
  <c r="Q29" i="11"/>
  <c r="Q31" i="11"/>
  <c r="Q30" i="11"/>
  <c r="Q28" i="11"/>
  <c r="P30" i="11"/>
  <c r="P28" i="11"/>
  <c r="P31" i="11"/>
  <c r="P29" i="11"/>
  <c r="P34" i="11" s="1"/>
  <c r="Z31" i="8"/>
  <c r="Z29" i="8"/>
  <c r="Z30" i="8"/>
  <c r="Z28" i="8"/>
  <c r="AA31" i="8"/>
  <c r="AA29" i="8"/>
  <c r="X34" i="8" s="1"/>
  <c r="AA30" i="8"/>
  <c r="AA28" i="8"/>
  <c r="Y29" i="8"/>
  <c r="Y31" i="8"/>
  <c r="Y30" i="8"/>
  <c r="Y28" i="8"/>
  <c r="X30" i="8"/>
  <c r="X28" i="8"/>
  <c r="X31" i="8"/>
  <c r="X29" i="8"/>
  <c r="W31" i="8"/>
  <c r="W29" i="8"/>
  <c r="W30" i="8"/>
  <c r="W28" i="8"/>
  <c r="V31" i="8"/>
  <c r="V29" i="8"/>
  <c r="V28" i="8"/>
  <c r="V30" i="8"/>
  <c r="T30" i="8"/>
  <c r="T28" i="8"/>
  <c r="T29" i="8"/>
  <c r="T31" i="8"/>
  <c r="U30" i="8"/>
  <c r="U28" i="8"/>
  <c r="U31" i="8"/>
  <c r="U29" i="8"/>
  <c r="S29" i="8"/>
  <c r="S31" i="8"/>
  <c r="S30" i="8"/>
  <c r="S28" i="8"/>
  <c r="R29" i="8"/>
  <c r="R30" i="8"/>
  <c r="R31" i="8"/>
  <c r="R28" i="8"/>
  <c r="Q28" i="8"/>
  <c r="Q30" i="8"/>
  <c r="Q31" i="8"/>
  <c r="Q29" i="8"/>
  <c r="P30" i="8"/>
  <c r="P28" i="8"/>
  <c r="P29" i="8"/>
  <c r="P34" i="8" s="1"/>
  <c r="P31" i="8"/>
  <c r="N29" i="13"/>
  <c r="N31" i="13"/>
  <c r="N30" i="13"/>
  <c r="N28" i="13"/>
  <c r="O31" i="13"/>
  <c r="O29" i="13"/>
  <c r="O30" i="13"/>
  <c r="O28" i="13"/>
  <c r="M31" i="13"/>
  <c r="M29" i="13"/>
  <c r="M28" i="13"/>
  <c r="M30" i="13"/>
  <c r="L30" i="13"/>
  <c r="L28" i="13"/>
  <c r="L31" i="13"/>
  <c r="L29" i="13"/>
  <c r="L34" i="13" s="1"/>
  <c r="O31" i="11"/>
  <c r="O29" i="11"/>
  <c r="O30" i="11"/>
  <c r="O28" i="11"/>
  <c r="N31" i="11"/>
  <c r="N29" i="11"/>
  <c r="N28" i="11"/>
  <c r="N30" i="11"/>
  <c r="M30" i="11"/>
  <c r="M28" i="11"/>
  <c r="M31" i="11"/>
  <c r="M29" i="11"/>
  <c r="L30" i="11"/>
  <c r="L28" i="11"/>
  <c r="L31" i="11"/>
  <c r="L29" i="11"/>
  <c r="L34" i="11" s="1"/>
  <c r="O31" i="8"/>
  <c r="O29" i="8"/>
  <c r="O28" i="8"/>
  <c r="O30" i="8"/>
  <c r="N29" i="8"/>
  <c r="N31" i="8"/>
  <c r="N30" i="8"/>
  <c r="N28" i="8"/>
  <c r="M31" i="8"/>
  <c r="M29" i="8"/>
  <c r="M30" i="8"/>
  <c r="M28" i="8"/>
  <c r="L30" i="8"/>
  <c r="L29" i="8"/>
  <c r="L34" i="8" s="1"/>
  <c r="L28" i="8"/>
  <c r="L31" i="8"/>
  <c r="G31" i="11"/>
  <c r="G30" i="11"/>
  <c r="G29" i="11"/>
  <c r="G28" i="11"/>
  <c r="D31" i="11"/>
  <c r="D30" i="11"/>
  <c r="D29" i="11"/>
  <c r="D28" i="11"/>
  <c r="K31" i="11"/>
  <c r="K30" i="11"/>
  <c r="K29" i="11"/>
  <c r="K28" i="11"/>
  <c r="J31" i="11"/>
  <c r="J30" i="11"/>
  <c r="J29" i="11"/>
  <c r="J28" i="11"/>
  <c r="I31" i="11"/>
  <c r="I30" i="11"/>
  <c r="I29" i="11"/>
  <c r="I28" i="11"/>
  <c r="H31" i="11"/>
  <c r="H30" i="11"/>
  <c r="H29" i="11"/>
  <c r="H28" i="11"/>
  <c r="E31" i="11"/>
  <c r="E30" i="11"/>
  <c r="E29" i="11"/>
  <c r="E28" i="11"/>
  <c r="F31" i="11"/>
  <c r="F28" i="11"/>
  <c r="F29" i="11"/>
  <c r="F30" i="11"/>
  <c r="K31" i="13"/>
  <c r="K29" i="13"/>
  <c r="K30" i="13"/>
  <c r="K28" i="13"/>
  <c r="J29" i="13"/>
  <c r="J31" i="13"/>
  <c r="J30" i="13"/>
  <c r="J28" i="13"/>
  <c r="I31" i="13"/>
  <c r="I29" i="13"/>
  <c r="I30" i="13"/>
  <c r="I28" i="13"/>
  <c r="H30" i="13"/>
  <c r="H28" i="13"/>
  <c r="H31" i="13"/>
  <c r="H29" i="13"/>
  <c r="H34" i="13" s="1"/>
  <c r="K31" i="8"/>
  <c r="K29" i="8"/>
  <c r="K30" i="8"/>
  <c r="K28" i="8"/>
  <c r="I29" i="8"/>
  <c r="I31" i="8"/>
  <c r="I30" i="8"/>
  <c r="I28" i="8"/>
  <c r="J31" i="8"/>
  <c r="J29" i="8"/>
  <c r="J28" i="8"/>
  <c r="J30" i="8"/>
  <c r="H30" i="8"/>
  <c r="H28" i="8"/>
  <c r="H31" i="8"/>
  <c r="H29" i="8"/>
  <c r="H34" i="8" s="1"/>
  <c r="AP31" i="12"/>
  <c r="AP30" i="12"/>
  <c r="AP29" i="12"/>
  <c r="AP28" i="12"/>
  <c r="AU31" i="12"/>
  <c r="AU30" i="12"/>
  <c r="AU29" i="12"/>
  <c r="AU28" i="12"/>
  <c r="AQ31" i="12"/>
  <c r="AQ30" i="12"/>
  <c r="AQ29" i="12"/>
  <c r="AQ28" i="12"/>
  <c r="AM31" i="12"/>
  <c r="AM30" i="12"/>
  <c r="AM29" i="12"/>
  <c r="AM28" i="12"/>
  <c r="AI31" i="12"/>
  <c r="AI30" i="12"/>
  <c r="AI29" i="12"/>
  <c r="AI28" i="12"/>
  <c r="AT30" i="12"/>
  <c r="AT29" i="12"/>
  <c r="AT28" i="12"/>
  <c r="AT31" i="12"/>
  <c r="AN30" i="12"/>
  <c r="AN31" i="12"/>
  <c r="AN28" i="12"/>
  <c r="AN29" i="12"/>
  <c r="AL31" i="12"/>
  <c r="AL30" i="12"/>
  <c r="AL28" i="12"/>
  <c r="AL29" i="12"/>
  <c r="AF29" i="12"/>
  <c r="AF30" i="12"/>
  <c r="AF28" i="12"/>
  <c r="AF31" i="12"/>
  <c r="AS31" i="12"/>
  <c r="AS30" i="12"/>
  <c r="AS29" i="12"/>
  <c r="AS28" i="12"/>
  <c r="AR31" i="12"/>
  <c r="AR30" i="12"/>
  <c r="AR29" i="12"/>
  <c r="AR28" i="12"/>
  <c r="AO31" i="12"/>
  <c r="AO30" i="12"/>
  <c r="AO29" i="12"/>
  <c r="AO28" i="12"/>
  <c r="AK31" i="12"/>
  <c r="AK30" i="12"/>
  <c r="AK29" i="12"/>
  <c r="AK28" i="12"/>
  <c r="AH31" i="12"/>
  <c r="AH30" i="12"/>
  <c r="AH29" i="12"/>
  <c r="AH28" i="12"/>
  <c r="AJ31" i="12"/>
  <c r="AJ30" i="12"/>
  <c r="AJ29" i="12"/>
  <c r="AJ28" i="12"/>
  <c r="AG31" i="12"/>
  <c r="AG30" i="12"/>
  <c r="AG29" i="12"/>
  <c r="AG28" i="12"/>
  <c r="BB31" i="10"/>
  <c r="BB30" i="10"/>
  <c r="BB29" i="10"/>
  <c r="BB28" i="10"/>
  <c r="BC30" i="10"/>
  <c r="BC29" i="10"/>
  <c r="BC31" i="10"/>
  <c r="BC28" i="10"/>
  <c r="BI31" i="10"/>
  <c r="BI30" i="10"/>
  <c r="BI29" i="10"/>
  <c r="BI28" i="10"/>
  <c r="AT31" i="10"/>
  <c r="AT30" i="10"/>
  <c r="AT29" i="10"/>
  <c r="AT28" i="10"/>
  <c r="AY31" i="10"/>
  <c r="AY30" i="10"/>
  <c r="AY29" i="10"/>
  <c r="AY28" i="10"/>
  <c r="AU31" i="10"/>
  <c r="AU30" i="10"/>
  <c r="AU28" i="10"/>
  <c r="AU29" i="10"/>
  <c r="BA31" i="10"/>
  <c r="BA30" i="10"/>
  <c r="BA29" i="10"/>
  <c r="BA28" i="10"/>
  <c r="BG28" i="10"/>
  <c r="BG31" i="10"/>
  <c r="BG30" i="10"/>
  <c r="BG29" i="10"/>
  <c r="BF31" i="10"/>
  <c r="BF30" i="10"/>
  <c r="BF29" i="10"/>
  <c r="BF28" i="10"/>
  <c r="BD29" i="10"/>
  <c r="BD28" i="10"/>
  <c r="BD30" i="10"/>
  <c r="BD31" i="10"/>
  <c r="AX31" i="10"/>
  <c r="AX30" i="10"/>
  <c r="AX29" i="10"/>
  <c r="AX28" i="10"/>
  <c r="BH28" i="10"/>
  <c r="BH30" i="10"/>
  <c r="BH31" i="10"/>
  <c r="BH29" i="10"/>
  <c r="BE30" i="10"/>
  <c r="BE31" i="10"/>
  <c r="BE29" i="10"/>
  <c r="BE28" i="10"/>
  <c r="AZ30" i="10"/>
  <c r="AZ29" i="10"/>
  <c r="AZ28" i="10"/>
  <c r="AZ31" i="10"/>
  <c r="AW28" i="10"/>
  <c r="AW31" i="10"/>
  <c r="AW30" i="10"/>
  <c r="AW29" i="10"/>
  <c r="AV28" i="10"/>
  <c r="AV30" i="10"/>
  <c r="AV29" i="10"/>
  <c r="AV31" i="10"/>
  <c r="BA31" i="1"/>
  <c r="BA30" i="1"/>
  <c r="BA29" i="1"/>
  <c r="BA28" i="1"/>
  <c r="AX31" i="1"/>
  <c r="AX30" i="1"/>
  <c r="AX29" i="1"/>
  <c r="AX28" i="1"/>
  <c r="AS31" i="1"/>
  <c r="AS30" i="1"/>
  <c r="AS29" i="1"/>
  <c r="AS28" i="1"/>
  <c r="AP31" i="1"/>
  <c r="AP30" i="1"/>
  <c r="AP29" i="1"/>
  <c r="AP28" i="1"/>
  <c r="AV31" i="1"/>
  <c r="AV30" i="1"/>
  <c r="AV29" i="1"/>
  <c r="AV28" i="1"/>
  <c r="AZ28" i="1"/>
  <c r="AZ31" i="1"/>
  <c r="AZ30" i="1"/>
  <c r="AZ29" i="1"/>
  <c r="AR31" i="1"/>
  <c r="AR30" i="1"/>
  <c r="AR29" i="1"/>
  <c r="AR28" i="1"/>
  <c r="BC30" i="1"/>
  <c r="BC29" i="1"/>
  <c r="BC28" i="1"/>
  <c r="BC31" i="1"/>
  <c r="AT31" i="1"/>
  <c r="AT30" i="1"/>
  <c r="AT28" i="1"/>
  <c r="AT29" i="1"/>
  <c r="BE31" i="1"/>
  <c r="BE30" i="1"/>
  <c r="BE29" i="1"/>
  <c r="BE28" i="1"/>
  <c r="AW28" i="1"/>
  <c r="AW30" i="1"/>
  <c r="AW29" i="1"/>
  <c r="AW31" i="1"/>
  <c r="AY30" i="1"/>
  <c r="AY28" i="1"/>
  <c r="AY31" i="1"/>
  <c r="AY29" i="1"/>
  <c r="BD31" i="1"/>
  <c r="BD30" i="1"/>
  <c r="BD29" i="1"/>
  <c r="BD28" i="1"/>
  <c r="BB30" i="1"/>
  <c r="BB31" i="1"/>
  <c r="BB29" i="1"/>
  <c r="BB28" i="1"/>
  <c r="AU31" i="1"/>
  <c r="AU30" i="1"/>
  <c r="AU29" i="1"/>
  <c r="AU28" i="1"/>
  <c r="AQ31" i="1"/>
  <c r="AQ30" i="1"/>
  <c r="AQ29" i="1"/>
  <c r="AQ28" i="1"/>
  <c r="E31" i="1"/>
  <c r="E28" i="1"/>
  <c r="E29" i="1"/>
  <c r="E30" i="1"/>
  <c r="AI28" i="1"/>
  <c r="AI30" i="1"/>
  <c r="AI31" i="1"/>
  <c r="AI29" i="1"/>
  <c r="D31" i="1"/>
  <c r="D29" i="1"/>
  <c r="D30" i="1"/>
  <c r="AN29" i="1"/>
  <c r="AN28" i="1"/>
  <c r="AN31" i="1"/>
  <c r="AN30" i="1"/>
  <c r="F29" i="1"/>
  <c r="F30" i="1"/>
  <c r="F31" i="1"/>
  <c r="F28" i="1"/>
  <c r="M30" i="1"/>
  <c r="M28" i="1"/>
  <c r="M31" i="1"/>
  <c r="M29" i="1"/>
  <c r="AF31" i="1"/>
  <c r="AF29" i="1"/>
  <c r="AF28" i="1"/>
  <c r="AF30" i="1"/>
  <c r="H31" i="1"/>
  <c r="H30" i="1"/>
  <c r="H29" i="1"/>
  <c r="H28" i="1"/>
  <c r="L30" i="1"/>
  <c r="L31" i="1"/>
  <c r="L29" i="1"/>
  <c r="L28" i="1"/>
  <c r="O31" i="1"/>
  <c r="O28" i="1"/>
  <c r="O30" i="1"/>
  <c r="O29" i="1"/>
  <c r="AM29" i="1"/>
  <c r="AM30" i="1"/>
  <c r="AM28" i="1"/>
  <c r="AM31" i="1"/>
  <c r="AK31" i="1"/>
  <c r="AK29" i="1"/>
  <c r="AK28" i="1"/>
  <c r="AK30" i="1"/>
  <c r="S30" i="1"/>
  <c r="S31" i="1"/>
  <c r="S29" i="1"/>
  <c r="S28" i="1"/>
  <c r="G28" i="1"/>
  <c r="G30" i="1"/>
  <c r="G31" i="1"/>
  <c r="G29" i="1"/>
  <c r="K28" i="1"/>
  <c r="K29" i="1"/>
  <c r="K30" i="1"/>
  <c r="K31" i="1"/>
  <c r="AH29" i="1"/>
  <c r="AH30" i="1"/>
  <c r="AH28" i="1"/>
  <c r="AH31" i="1"/>
  <c r="AG30" i="1"/>
  <c r="AG28" i="1"/>
  <c r="AG31" i="1"/>
  <c r="AG29" i="1"/>
  <c r="AL30" i="1"/>
  <c r="AL28" i="1"/>
  <c r="AL31" i="1"/>
  <c r="AL29" i="1"/>
  <c r="R29" i="1"/>
  <c r="R30" i="1"/>
  <c r="R28" i="1"/>
  <c r="R31" i="1"/>
  <c r="J30" i="1"/>
  <c r="J28" i="1"/>
  <c r="J31" i="1"/>
  <c r="J29" i="1"/>
  <c r="N28" i="1"/>
  <c r="N31" i="1"/>
  <c r="N29" i="1"/>
  <c r="N30" i="1"/>
  <c r="Q28" i="1"/>
  <c r="Q31" i="1"/>
  <c r="Q30" i="1"/>
  <c r="Q29" i="1"/>
  <c r="I29" i="1"/>
  <c r="I31" i="1"/>
  <c r="I28" i="1"/>
  <c r="I30" i="1"/>
  <c r="AJ30" i="1"/>
  <c r="AJ31" i="1"/>
  <c r="AJ28" i="1"/>
  <c r="AJ29" i="1"/>
  <c r="P29" i="1"/>
  <c r="P28" i="1"/>
  <c r="P30" i="1"/>
  <c r="P31" i="1"/>
  <c r="G28" i="13"/>
  <c r="G31" i="13"/>
  <c r="G30" i="13"/>
  <c r="G29" i="13"/>
  <c r="F31" i="13"/>
  <c r="F29" i="13"/>
  <c r="F30" i="13"/>
  <c r="F28" i="13"/>
  <c r="E31" i="13"/>
  <c r="E29" i="13"/>
  <c r="E30" i="13"/>
  <c r="E28" i="13"/>
  <c r="D30" i="13"/>
  <c r="D31" i="13"/>
  <c r="D29" i="13"/>
  <c r="D34" i="13" s="1"/>
  <c r="D28" i="13"/>
  <c r="R30" i="12"/>
  <c r="R31" i="12"/>
  <c r="R29" i="12"/>
  <c r="R28" i="12"/>
  <c r="N30" i="12"/>
  <c r="N31" i="12"/>
  <c r="N28" i="12"/>
  <c r="N29" i="12"/>
  <c r="S28" i="12"/>
  <c r="S31" i="12"/>
  <c r="S30" i="12"/>
  <c r="S29" i="12"/>
  <c r="M28" i="12"/>
  <c r="M29" i="12"/>
  <c r="M30" i="12"/>
  <c r="M31" i="12"/>
  <c r="J30" i="12"/>
  <c r="J31" i="12"/>
  <c r="J28" i="12"/>
  <c r="J29" i="12"/>
  <c r="Q29" i="12"/>
  <c r="Q30" i="12"/>
  <c r="Q28" i="12"/>
  <c r="Q31" i="12"/>
  <c r="H28" i="12"/>
  <c r="H29" i="12"/>
  <c r="H31" i="12"/>
  <c r="H30" i="12"/>
  <c r="F29" i="12"/>
  <c r="F30" i="12"/>
  <c r="F31" i="12"/>
  <c r="F28" i="12"/>
  <c r="I29" i="12"/>
  <c r="I30" i="12"/>
  <c r="I31" i="12"/>
  <c r="I28" i="12"/>
  <c r="K31" i="12"/>
  <c r="K30" i="12"/>
  <c r="K29" i="12"/>
  <c r="K28" i="12"/>
  <c r="O30" i="12"/>
  <c r="O28" i="12"/>
  <c r="O31" i="12"/>
  <c r="O29" i="12"/>
  <c r="G28" i="12"/>
  <c r="G30" i="12"/>
  <c r="G29" i="12"/>
  <c r="G31" i="12"/>
  <c r="E29" i="12"/>
  <c r="E31" i="12"/>
  <c r="E28" i="12"/>
  <c r="E30" i="12"/>
  <c r="P28" i="12"/>
  <c r="P29" i="12"/>
  <c r="P30" i="12"/>
  <c r="P31" i="12"/>
  <c r="L28" i="12"/>
  <c r="L30" i="12"/>
  <c r="L29" i="12"/>
  <c r="L31" i="12"/>
  <c r="D31" i="12"/>
  <c r="D30" i="12"/>
  <c r="D28" i="12"/>
  <c r="D29" i="12"/>
  <c r="F30" i="7"/>
  <c r="F31" i="7"/>
  <c r="F29" i="7"/>
  <c r="F28" i="7"/>
  <c r="G28" i="7"/>
  <c r="G30" i="7"/>
  <c r="G29" i="7"/>
  <c r="G31" i="7"/>
  <c r="E31" i="7"/>
  <c r="E29" i="7"/>
  <c r="E30" i="7"/>
  <c r="E28" i="7"/>
  <c r="H28" i="7"/>
  <c r="H30" i="7"/>
  <c r="H31" i="7"/>
  <c r="H29" i="7"/>
  <c r="I31" i="7"/>
  <c r="I28" i="7"/>
  <c r="I29" i="7"/>
  <c r="I30" i="7"/>
  <c r="D30" i="7"/>
  <c r="D28" i="7"/>
  <c r="D31" i="7"/>
  <c r="D29" i="7"/>
  <c r="AM28" i="8"/>
  <c r="AM29" i="8"/>
  <c r="AM31" i="8"/>
  <c r="AM30" i="8"/>
  <c r="F31" i="8"/>
  <c r="F30" i="8"/>
  <c r="F29" i="8"/>
  <c r="F28" i="8"/>
  <c r="AJ30" i="8"/>
  <c r="AJ28" i="8"/>
  <c r="AJ29" i="8"/>
  <c r="AJ31" i="8"/>
  <c r="AG31" i="8"/>
  <c r="AG30" i="8"/>
  <c r="AG28" i="8"/>
  <c r="AG29" i="8"/>
  <c r="E31" i="8"/>
  <c r="E28" i="8"/>
  <c r="E30" i="8"/>
  <c r="E29" i="8"/>
  <c r="AO31" i="8"/>
  <c r="AO30" i="8"/>
  <c r="AO28" i="8"/>
  <c r="AO29" i="8"/>
  <c r="AH31" i="8"/>
  <c r="AH30" i="8"/>
  <c r="AH28" i="8"/>
  <c r="AH29" i="8"/>
  <c r="AF28" i="8"/>
  <c r="AF31" i="8"/>
  <c r="AF29" i="8"/>
  <c r="AF34" i="8" s="1"/>
  <c r="AF30" i="8"/>
  <c r="AI30" i="8"/>
  <c r="AI29" i="8"/>
  <c r="AI31" i="8"/>
  <c r="AI28" i="8"/>
  <c r="AK29" i="8"/>
  <c r="AK28" i="8"/>
  <c r="AK31" i="8"/>
  <c r="AK30" i="8"/>
  <c r="G30" i="8"/>
  <c r="G31" i="8"/>
  <c r="G29" i="8"/>
  <c r="G28" i="8"/>
  <c r="AN28" i="8"/>
  <c r="AN31" i="8"/>
  <c r="AN30" i="8"/>
  <c r="AN29" i="8"/>
  <c r="AL29" i="8"/>
  <c r="AL28" i="8"/>
  <c r="AL31" i="8"/>
  <c r="AL30" i="8"/>
  <c r="D30" i="8"/>
  <c r="D28" i="8"/>
  <c r="D31" i="8"/>
  <c r="D29" i="8"/>
  <c r="AQ30" i="11"/>
  <c r="AQ28" i="11"/>
  <c r="AQ31" i="11"/>
  <c r="AQ29" i="11"/>
  <c r="AI31" i="11"/>
  <c r="AI30" i="11"/>
  <c r="AI29" i="11"/>
  <c r="AI28" i="11"/>
  <c r="AN28" i="11"/>
  <c r="AN30" i="11"/>
  <c r="AN29" i="11"/>
  <c r="AN31" i="11"/>
  <c r="AH29" i="11"/>
  <c r="AH28" i="11"/>
  <c r="AH30" i="11"/>
  <c r="AH31" i="11"/>
  <c r="AP29" i="11"/>
  <c r="AP30" i="11"/>
  <c r="AP28" i="11"/>
  <c r="AP31" i="11"/>
  <c r="AO29" i="11"/>
  <c r="AO30" i="11"/>
  <c r="AO28" i="11"/>
  <c r="AO31" i="11"/>
  <c r="AT31" i="11"/>
  <c r="AT28" i="11"/>
  <c r="AT29" i="11"/>
  <c r="AT30" i="11"/>
  <c r="AS29" i="11"/>
  <c r="AS30" i="11"/>
  <c r="AS31" i="11"/>
  <c r="AS28" i="11"/>
  <c r="AL31" i="11"/>
  <c r="AL28" i="11"/>
  <c r="AL29" i="11"/>
  <c r="AL30" i="11"/>
  <c r="AK31" i="11"/>
  <c r="AK28" i="11"/>
  <c r="AK29" i="11"/>
  <c r="AK30" i="11"/>
  <c r="AM28" i="11"/>
  <c r="AM29" i="11"/>
  <c r="AM30" i="11"/>
  <c r="AM31" i="11"/>
  <c r="AR30" i="11"/>
  <c r="AR29" i="11"/>
  <c r="AR31" i="11"/>
  <c r="AR28" i="11"/>
  <c r="AG29" i="11"/>
  <c r="AG30" i="11"/>
  <c r="AG31" i="11"/>
  <c r="AG28" i="11"/>
  <c r="AJ30" i="11"/>
  <c r="AJ28" i="11"/>
  <c r="AJ31" i="11"/>
  <c r="AJ29" i="11"/>
  <c r="AF28" i="11"/>
  <c r="AF30" i="11"/>
  <c r="AF29" i="11"/>
  <c r="AF31" i="11"/>
  <c r="AN28" i="10"/>
  <c r="AN29" i="10"/>
  <c r="AN30" i="10"/>
  <c r="AN31" i="10"/>
  <c r="AI28" i="10"/>
  <c r="AI29" i="10"/>
  <c r="AI31" i="10"/>
  <c r="AI30" i="10"/>
  <c r="AL29" i="10"/>
  <c r="AL30" i="10"/>
  <c r="AL31" i="10"/>
  <c r="AL28" i="10"/>
  <c r="J31" i="10"/>
  <c r="J29" i="10"/>
  <c r="J28" i="10"/>
  <c r="J30" i="10"/>
  <c r="AF29" i="10"/>
  <c r="AF28" i="10"/>
  <c r="AF31" i="10"/>
  <c r="AF30" i="10"/>
  <c r="AG28" i="10"/>
  <c r="AG31" i="10"/>
  <c r="AG29" i="10"/>
  <c r="AG30" i="10"/>
  <c r="AK31" i="10"/>
  <c r="AK28" i="10"/>
  <c r="AK29" i="10"/>
  <c r="AK30" i="10"/>
  <c r="M29" i="10"/>
  <c r="M30" i="10"/>
  <c r="M28" i="10"/>
  <c r="M31" i="10"/>
  <c r="E30" i="10"/>
  <c r="E29" i="10"/>
  <c r="E28" i="10"/>
  <c r="E31" i="10"/>
  <c r="P28" i="10"/>
  <c r="P31" i="10"/>
  <c r="P29" i="10"/>
  <c r="P30" i="10"/>
  <c r="O30" i="10"/>
  <c r="O28" i="10"/>
  <c r="O31" i="10"/>
  <c r="O29" i="10"/>
  <c r="N30" i="10"/>
  <c r="N31" i="10"/>
  <c r="N29" i="10"/>
  <c r="N28" i="10"/>
  <c r="K29" i="10"/>
  <c r="K31" i="10"/>
  <c r="K28" i="10"/>
  <c r="K30" i="10"/>
  <c r="AR28" i="10"/>
  <c r="AR30" i="10"/>
  <c r="AR31" i="10"/>
  <c r="AR29" i="10"/>
  <c r="AJ28" i="10"/>
  <c r="AJ31" i="10"/>
  <c r="AJ29" i="10"/>
  <c r="AJ30" i="10"/>
  <c r="AH30" i="10"/>
  <c r="AH28" i="10"/>
  <c r="AH31" i="10"/>
  <c r="AH29" i="10"/>
  <c r="F30" i="10"/>
  <c r="F29" i="10"/>
  <c r="F28" i="10"/>
  <c r="F31" i="10"/>
  <c r="AM29" i="10"/>
  <c r="AM30" i="10"/>
  <c r="AM28" i="10"/>
  <c r="AM31" i="10"/>
  <c r="AO30" i="10"/>
  <c r="AO29" i="10"/>
  <c r="AO28" i="10"/>
  <c r="AO31" i="10"/>
  <c r="L31" i="10"/>
  <c r="L28" i="10"/>
  <c r="L30" i="10"/>
  <c r="L29" i="10"/>
  <c r="H28" i="10"/>
  <c r="H31" i="10"/>
  <c r="H29" i="10"/>
  <c r="H30" i="10"/>
  <c r="R30" i="10"/>
  <c r="R31" i="10"/>
  <c r="R29" i="10"/>
  <c r="R28" i="10"/>
  <c r="G29" i="10"/>
  <c r="G28" i="10"/>
  <c r="G30" i="10"/>
  <c r="G31" i="10"/>
  <c r="AP30" i="10"/>
  <c r="AP31" i="10"/>
  <c r="AP29" i="10"/>
  <c r="AP28" i="10"/>
  <c r="I31" i="10"/>
  <c r="I28" i="10"/>
  <c r="I29" i="10"/>
  <c r="I30" i="10"/>
  <c r="S29" i="10"/>
  <c r="S30" i="10"/>
  <c r="S31" i="10"/>
  <c r="S28" i="10"/>
  <c r="AS31" i="10"/>
  <c r="AS30" i="10"/>
  <c r="AS29" i="10"/>
  <c r="AS28" i="10"/>
  <c r="AQ29" i="10"/>
  <c r="AQ28" i="10"/>
  <c r="AQ30" i="10"/>
  <c r="AQ31" i="10"/>
  <c r="Q31" i="10"/>
  <c r="Q28" i="10"/>
  <c r="Q30" i="10"/>
  <c r="Q29" i="10"/>
  <c r="D31" i="10"/>
  <c r="D28" i="10"/>
  <c r="D30" i="10"/>
  <c r="AO11" i="1"/>
  <c r="AO30" i="1" a="1"/>
  <c r="AO31" i="1" a="1"/>
  <c r="AO28" i="1" a="1"/>
  <c r="AO29" i="1" a="1"/>
  <c r="D34" i="10" l="1"/>
  <c r="D34" i="12"/>
  <c r="AI34" i="10"/>
  <c r="AT34" i="10"/>
  <c r="AF34" i="10"/>
  <c r="AP34" i="1"/>
  <c r="AF34" i="1"/>
  <c r="AO29" i="1"/>
  <c r="AI34" i="1" s="1"/>
  <c r="AO28" i="1"/>
  <c r="AO31" i="1"/>
  <c r="AO30" i="1"/>
  <c r="AI34" i="8"/>
  <c r="X34" i="11"/>
  <c r="AF34" i="11"/>
  <c r="AI34" i="11"/>
  <c r="T34" i="8"/>
  <c r="AF34" i="12"/>
  <c r="H34" i="11"/>
  <c r="D34" i="11"/>
  <c r="D34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<sst xmlns="http://schemas.openxmlformats.org/spreadsheetml/2006/main" count="2237" uniqueCount="146">
  <si>
    <t>Test case description</t>
  </si>
  <si>
    <t>V01-DS-30</t>
  </si>
  <si>
    <t>V01-DS-31</t>
  </si>
  <si>
    <t>Bandwidth (MHz)</t>
  </si>
  <si>
    <t>Bandwidth (PRB)</t>
  </si>
  <si>
    <t>Number of total PRB</t>
  </si>
  <si>
    <t>UE Group</t>
  </si>
  <si>
    <t>UE Group PRB %</t>
  </si>
  <si>
    <t>Numerology index (μ)</t>
  </si>
  <si>
    <t>RF chains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</si>
  <si>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</si>
  <si>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</si>
  <si>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</si>
  <si>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</si>
  <si>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</si>
  <si>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</si>
  <si>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MCS table</t>
  </si>
  <si>
    <t>MCS index</t>
  </si>
  <si>
    <t>Total users</t>
  </si>
  <si>
    <t>Layers per user</t>
  </si>
  <si>
    <t>DL/UL Duplexing</t>
  </si>
  <si>
    <t>FDD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</si>
  <si>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</si>
  <si>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</si>
  <si>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</si>
  <si>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</si>
  <si>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</si>
  <si>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</si>
  <si>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</si>
  <si>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Modulation order (Qm)</t>
  </si>
  <si>
    <t>Target code rate (R x 1024)</t>
  </si>
  <si>
    <t>Lifting size per user (Z)</t>
  </si>
  <si>
    <t>Transport block size per user</t>
  </si>
  <si>
    <t>Codeblocks per user (C)</t>
  </si>
  <si>
    <t>Parity check nodes</t>
  </si>
  <si>
    <t>Throughput</t>
  </si>
  <si>
    <t>UEG throughput [Mbps]</t>
  </si>
  <si>
    <t>V01-US-30</t>
  </si>
  <si>
    <t>V01-US-31</t>
  </si>
  <si>
    <t>PUSCH symbols per slot</t>
  </si>
  <si>
    <t>PUSCH DMRS symbols per slot</t>
  </si>
  <si>
    <t>V08-DS-01</t>
  </si>
  <si>
    <t>V08-DS-30</t>
  </si>
  <si>
    <t>V08-DS-31</t>
  </si>
  <si>
    <t>TDD</t>
  </si>
  <si>
    <t>V08-US-01</t>
  </si>
  <si>
    <t>V08-US-30</t>
  </si>
  <si>
    <t>V08-US-31</t>
  </si>
  <si>
    <t>V14-DS-01</t>
  </si>
  <si>
    <t>V14-DS-30</t>
  </si>
  <si>
    <t>V14-DS-31</t>
  </si>
  <si>
    <t>V14-US-01</t>
  </si>
  <si>
    <t>V14-US-30</t>
  </si>
  <si>
    <t>V14-US-31</t>
  </si>
  <si>
    <t>U08-US-01</t>
  </si>
  <si>
    <t>U14-US-01</t>
  </si>
  <si>
    <t>Cell throughput [Gbps]</t>
  </si>
  <si>
    <t>V08-DS-40</t>
  </si>
  <si>
    <t>V08-US-40</t>
  </si>
  <si>
    <t>U08-US-40</t>
  </si>
  <si>
    <t>V14-DS-02</t>
  </si>
  <si>
    <t>U14-US-02</t>
  </si>
  <si>
    <t>V14-US-02</t>
  </si>
  <si>
    <t>V14-DS-03</t>
  </si>
  <si>
    <t>V14-US-03</t>
  </si>
  <si>
    <t>U14-US-03</t>
  </si>
  <si>
    <t>V14-DS-04</t>
  </si>
  <si>
    <t>V14-DS-05</t>
  </si>
  <si>
    <t>V14-DS-06</t>
  </si>
  <si>
    <t>V14-US-04</t>
  </si>
  <si>
    <t>V14-US-05</t>
  </si>
  <si>
    <t>V14-US-06</t>
  </si>
  <si>
    <t>U14-US-04</t>
  </si>
  <si>
    <t>U14-US-05</t>
  </si>
  <si>
    <t>U14-US-06</t>
  </si>
  <si>
    <t>V14-DS-07</t>
  </si>
  <si>
    <t>V14-US-07</t>
  </si>
  <si>
    <t>U14-US-07</t>
  </si>
  <si>
    <t>V08-DS-02</t>
  </si>
  <si>
    <t>V08-DS-03</t>
  </si>
  <si>
    <t>V08-US-02</t>
  </si>
  <si>
    <t>V08-US-03</t>
  </si>
  <si>
    <t>U08-US-02</t>
  </si>
  <si>
    <t>U08-US-03</t>
  </si>
  <si>
    <t>V09-DS-01</t>
  </si>
  <si>
    <t>V09-US-01</t>
  </si>
  <si>
    <t>U09-US-01</t>
  </si>
  <si>
    <t>Cell throughput [Mbps]</t>
  </si>
  <si>
    <t>V09-DS-02</t>
  </si>
  <si>
    <t>V09-US-02</t>
  </si>
  <si>
    <t>U09-US-02</t>
  </si>
  <si>
    <t>V15-US-01</t>
  </si>
  <si>
    <t>V15-US-02</t>
  </si>
  <si>
    <t>V15-US-03</t>
  </si>
  <si>
    <t>V15-US-04</t>
  </si>
  <si>
    <t>V15-DS-01</t>
  </si>
  <si>
    <t>V15-DS-02</t>
  </si>
  <si>
    <t>V15-US-11</t>
  </si>
  <si>
    <t>3 UEG CP-OFDM</t>
  </si>
  <si>
    <t>2UEG DFT-s-OFDM</t>
  </si>
  <si>
    <t>V15-US-12</t>
  </si>
  <si>
    <t>V15-US-13</t>
  </si>
  <si>
    <t>V15-US-14</t>
  </si>
  <si>
    <t>V16-US-03</t>
  </si>
  <si>
    <t>All CP-OFDM</t>
  </si>
  <si>
    <t>V16-US-04</t>
  </si>
  <si>
    <t>V16-US-11</t>
  </si>
  <si>
    <t>V16-US-12</t>
  </si>
  <si>
    <t>V16-US-13</t>
  </si>
  <si>
    <t>V16-US-14</t>
  </si>
  <si>
    <t>V16-US-21</t>
  </si>
  <si>
    <t>V16-US-22</t>
  </si>
  <si>
    <t>V16-US-23</t>
  </si>
  <si>
    <t>V16-US-24</t>
  </si>
  <si>
    <t>V16-DS-11</t>
  </si>
  <si>
    <t>V16-DS-12</t>
  </si>
  <si>
    <t>V16-DS-21</t>
  </si>
  <si>
    <t>V16-DS-22</t>
  </si>
  <si>
    <t>V15-DS-11</t>
  </si>
  <si>
    <t>V15-DS-12</t>
  </si>
  <si>
    <t>V15-DS-21</t>
  </si>
  <si>
    <t>V15-DS-22</t>
  </si>
  <si>
    <t>V15-US-21</t>
  </si>
  <si>
    <t>V15-US-22</t>
  </si>
  <si>
    <t>V15-US-23</t>
  </si>
  <si>
    <t>V15-US-24</t>
  </si>
  <si>
    <t>V14-DS-40</t>
  </si>
  <si>
    <t>V14-DS-41</t>
  </si>
  <si>
    <t>U14-US-40</t>
  </si>
  <si>
    <t>U14-US-41</t>
  </si>
  <si>
    <t>V14-DS-42</t>
  </si>
  <si>
    <t>V14-DS-43</t>
  </si>
  <si>
    <t>U14-US-42</t>
  </si>
  <si>
    <t>U14-US-43</t>
  </si>
  <si>
    <t>V08-DS-42</t>
  </si>
  <si>
    <t>V08-DS-43</t>
  </si>
  <si>
    <t>V09-DS-42</t>
  </si>
  <si>
    <t>V09-DS-43</t>
  </si>
  <si>
    <t>U09-US-42</t>
  </si>
  <si>
    <t>U09-US-43</t>
  </si>
  <si>
    <t>U08-US-42</t>
  </si>
  <si>
    <t>U08-US-43</t>
  </si>
  <si>
    <t>V09-DS-40</t>
  </si>
  <si>
    <t>V09-DS-41</t>
  </si>
  <si>
    <t>U09-US-40</t>
  </si>
  <si>
    <t>U09-US-41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</si>
</sst>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57171"/>
        <bgColor rgb="FF000000"/>
      </patternFill>
    </fill>
    <fill>
      <patternFill patternType="solid">
        <fgColor rgb="FF7030A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2">
    <xf numFmtId="0" fontId="0" fillId="0" borderId="0" xfId="0"/>
    <xf numFmtId="0" fontId="0" fillId="0" borderId="0" xfId="0" applyAlignment="1">
      <alignment horizontal="right"/>
    </xf>
    <xf numFmtId="0" fontId="2" fillId="3" borderId="0" xfId="0" applyFont="1" applyFill="1"/>
    <xf numFmtId="0" fontId="0" fillId="4" borderId="0" xfId="0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4" borderId="0" xfId="0" applyFill="1" applyAlignment="1">
      <alignment horizontal="left" indent="2"/>
    </xf>
    <xf numFmtId="0" fontId="2" fillId="3" borderId="0" xfId="0" applyFont="1" applyFill="1" applyAlignment="1">
      <alignment horizontal="left"/>
    </xf>
    <xf numFmtId="0" fontId="0" fillId="5" borderId="0" xfId="0" applyFill="1" applyAlignment="1">
      <alignment horizontal="left" indent="1"/>
    </xf>
    <xf numFmtId="0" fontId="0" fillId="6" borderId="0" xfId="0" applyFill="1" applyAlignment="1">
      <alignment horizontal="left" indent="1"/>
    </xf>
    <xf numFmtId="0" fontId="0" fillId="2" borderId="0" xfId="0" applyFill="1" applyAlignment="1">
      <alignment horizontal="left" indent="1"/>
    </xf>
    <xf numFmtId="9" fontId="0" fillId="0" borderId="0" xfId="0" applyNumberFormat="1"/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7" borderId="1" xfId="0" applyFont="1" applyFill="1" applyBorder="1" applyAlignment="1">
      <alignment horizontal="right"/>
    </xf>
    <xf numFmtId="9" fontId="0" fillId="0" borderId="0" xfId="0" applyNumberFormat="1" applyAlignment="1">
      <alignment horizontal="right"/>
    </xf>
    <xf numFmtId="9" fontId="0" fillId="0" borderId="1" xfId="0" applyNumberFormat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3" borderId="0" xfId="0" applyFill="1" applyAlignment="1">
      <alignment horizontal="right"/>
    </xf>
    <xf numFmtId="0" fontId="4" fillId="7" borderId="0" xfId="0" applyFont="1" applyFill="1" applyAlignment="1">
      <alignment horizontal="right"/>
    </xf>
    <xf numFmtId="0" fontId="0" fillId="0" borderId="1" xfId="0" applyBorder="1"/>
    <xf numFmtId="9" fontId="0" fillId="0" borderId="1" xfId="0" applyNumberFormat="1" applyBorder="1"/>
    <xf numFmtId="0" fontId="2" fillId="3" borderId="2" xfId="0" applyFont="1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2" fillId="3" borderId="3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0" fillId="0" borderId="5" xfId="0" applyBorder="1"/>
    <xf numFmtId="9" fontId="0" fillId="0" borderId="5" xfId="0" applyNumberFormat="1" applyBorder="1" applyAlignment="1">
      <alignment horizontal="right"/>
    </xf>
    <xf numFmtId="0" fontId="0" fillId="0" borderId="5" xfId="0" applyBorder="1" applyAlignment="1">
      <alignment horizontal="right"/>
    </xf>
    <xf numFmtId="0" fontId="0" fillId="3" borderId="5" xfId="0" applyFill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0" fillId="0" borderId="7" xfId="0" applyBorder="1"/>
    <xf numFmtId="0" fontId="0" fillId="0" borderId="8" xfId="0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4" fillId="7" borderId="5" xfId="0" applyFont="1" applyFill="1" applyBorder="1" applyAlignment="1">
      <alignment horizontal="right"/>
    </xf>
    <xf numFmtId="0" fontId="0" fillId="0" borderId="6" xfId="0" applyBorder="1"/>
    <xf numFmtId="9" fontId="0" fillId="0" borderId="5" xfId="0" applyNumberFormat="1" applyBorder="1"/>
    <xf numFmtId="0" fontId="0" fillId="8" borderId="0" xfId="0" applyFill="1" applyAlignment="1">
      <alignment horizontal="left" indent="1"/>
    </xf>
    <xf numFmtId="0" fontId="0" fillId="0" borderId="0" xfId="0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1" xfId="0" applyBorder="1" applyAlignment="1">
      <alignment horizontal="left" indent="3"/>
    </xf>
    <xf numFmtId="0" fontId="0" fillId="0" borderId="9" xfId="0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0" borderId="11" xfId="0" applyBorder="1"/>
    <xf numFmtId="0" fontId="0" fillId="0" borderId="11" xfId="0" applyBorder="1" applyAlignment="1">
      <alignment horizontal="right"/>
    </xf>
    <xf numFmtId="9" fontId="0" fillId="0" borderId="11" xfId="0" applyNumberFormat="1" applyBorder="1" applyAlignment="1">
      <alignment horizontal="right"/>
    </xf>
    <xf numFmtId="0" fontId="0" fillId="3" borderId="11" xfId="0" applyFill="1" applyBorder="1" applyAlignment="1">
      <alignment horizontal="right"/>
    </xf>
    <xf numFmtId="0" fontId="4" fillId="0" borderId="11" xfId="0" applyFont="1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3" borderId="15" xfId="0" applyFont="1" applyFill="1" applyBorder="1" applyAlignment="1">
      <alignment horizontal="right"/>
    </xf>
    <xf numFmtId="0" fontId="0" fillId="0" borderId="16" xfId="0" applyBorder="1"/>
    <xf numFmtId="0" fontId="0" fillId="0" borderId="16" xfId="0" applyBorder="1" applyAlignment="1">
      <alignment horizontal="right"/>
    </xf>
    <xf numFmtId="9" fontId="0" fillId="0" borderId="16" xfId="0" applyNumberFormat="1" applyBorder="1" applyAlignment="1">
      <alignment horizontal="right"/>
    </xf>
    <xf numFmtId="0" fontId="0" fillId="3" borderId="16" xfId="0" applyFill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0" fillId="0" borderId="17" xfId="0" applyBorder="1"/>
    <xf numFmtId="0" fontId="2" fillId="3" borderId="0" xfId="0" applyFont="1" applyFill="1" applyAlignment="1">
      <alignment horizontal="right"/>
    </xf>
  </cellXfs>
  <cellStyles count="2">
    <cellStyle name="Normal" xfId="0" builtinId="0"/>
    <cellStyle name="Normal 2" xfId="1" xr:uid="{4B40AC08-3DF9-FB46-85A0-B8939A6D5E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18978-2000-47BF-AE2F-413AFA0665D7}">
  <dimension ref="B1:I34"/>
  <sheetViews>
    <sheetView topLeftCell="A3" workbookViewId="0">
      <selection activeCell="D34" sqref="D3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9" ht="15" thickBot="1" x14ac:dyDescent="0.4"/>
    <row r="2" spans="2:9" x14ac:dyDescent="0.35">
      <c r="B2" s="2" t="s">
        <v>0</v>
      </c>
      <c r="D2" s="34" t="s">
        <v>1</v>
      </c>
      <c r="E2" s="35"/>
      <c r="F2" s="35"/>
      <c r="G2" s="35" t="s">
        <v>2</v>
      </c>
      <c r="H2" s="35"/>
      <c r="I2" s="36"/>
    </row>
    <row r="3" spans="2:9" x14ac:dyDescent="0.35">
      <c r="B3" s="3" t="s">
        <v>3</v>
      </c>
      <c r="D3" s="28">
        <v>20</v>
      </c>
      <c r="E3" s="1">
        <v>20</v>
      </c>
      <c r="F3" s="1">
        <v>20</v>
      </c>
      <c r="G3" s="1">
        <v>20</v>
      </c>
      <c r="H3" s="1">
        <v>20</v>
      </c>
      <c r="I3" s="11">
        <v>20</v>
      </c>
    </row>
    <row r="4" spans="2:9" x14ac:dyDescent="0.35">
      <c r="B4" s="3" t="s">
        <v>4</v>
      </c>
      <c r="D4" s="28">
        <v>106</v>
      </c>
      <c r="E4" s="1">
        <v>106</v>
      </c>
      <c r="F4" s="1">
        <v>106</v>
      </c>
      <c r="G4" s="1">
        <v>106</v>
      </c>
      <c r="H4" s="1">
        <v>106</v>
      </c>
      <c r="I4" s="11">
        <v>106</v>
      </c>
    </row>
    <row r="5" spans="2:9" x14ac:dyDescent="0.35">
      <c r="B5" s="3" t="s">
        <v>5</v>
      </c>
      <c r="D5" s="28">
        <v>104</v>
      </c>
      <c r="E5" s="1">
        <v>104</v>
      </c>
      <c r="F5" s="1">
        <v>104</v>
      </c>
      <c r="G5" s="1">
        <v>104</v>
      </c>
      <c r="H5" s="1">
        <v>104</v>
      </c>
      <c r="I5" s="11">
        <v>104</v>
      </c>
    </row>
    <row r="6" spans="2:9" x14ac:dyDescent="0.35">
      <c r="B6" s="3" t="s">
        <v>6</v>
      </c>
      <c r="D6" s="28">
        <v>1</v>
      </c>
      <c r="E6" s="1">
        <v>2</v>
      </c>
      <c r="F6" s="1">
        <v>3</v>
      </c>
      <c r="G6" s="1">
        <v>1</v>
      </c>
      <c r="H6" s="1">
        <v>2</v>
      </c>
      <c r="I6" s="11">
        <v>3</v>
      </c>
    </row>
    <row r="7" spans="2:9" x14ac:dyDescent="0.35">
      <c r="B7" s="3" t="s">
        <v>7</v>
      </c>
      <c r="D7" s="27">
        <v>0.38</v>
      </c>
      <c r="E7" s="14">
        <v>0.38</v>
      </c>
      <c r="F7" s="14">
        <v>0.24</v>
      </c>
      <c r="G7" s="14">
        <v>0.38</v>
      </c>
      <c r="H7" s="14">
        <v>0.38</v>
      </c>
      <c r="I7" s="15">
        <v>0.24</v>
      </c>
    </row>
    <row r="8" spans="2:9" x14ac:dyDescent="0.35">
      <c r="B8" s="4" t="s">
        <v>8</v>
      </c>
      <c r="D8" s="28">
        <v>0</v>
      </c>
      <c r="E8" s="1">
        <v>0</v>
      </c>
      <c r="F8" s="1">
        <v>0</v>
      </c>
      <c r="G8" s="1">
        <v>0</v>
      </c>
      <c r="H8" s="1">
        <v>0</v>
      </c>
      <c r="I8" s="11">
        <v>0</v>
      </c>
    </row>
    <row r="9" spans="2:9" x14ac:dyDescent="0.35">
      <c r="B9" s="4" t="s">
        <v>9</v>
      </c>
      <c r="D9" s="28">
        <v>4</v>
      </c>
      <c r="E9" s="1">
        <v>4</v>
      </c>
      <c r="F9" s="1">
        <v>4</v>
      </c>
      <c r="G9" s="1">
        <v>4</v>
      </c>
      <c r="H9" s="1">
        <v>4</v>
      </c>
      <c r="I9" s="11">
        <v>4</v>
      </c>
    </row>
    <row r="10" spans="2:9" x14ac:dyDescent="0.35">
      <c r="B10" s="4" t="s">
        <v>10</v>
      </c>
      <c r="D10" s="28">
        <v>4</v>
      </c>
      <c r="E10" s="1">
        <v>4</v>
      </c>
      <c r="F10" s="1">
        <v>4</v>
      </c>
      <c r="G10" s="1">
        <v>4</v>
      </c>
      <c r="H10" s="1">
        <v>4</v>
      </c>
      <c r="I10" s="11">
        <v>4</v>
      </c>
    </row>
    <row r="11" spans="2:9" x14ac:dyDescent="0.35">
      <c r="B11" s="3" t="s">
        <v>11</v>
      </c>
      <c r="D11" s="28">
        <v>40</v>
      </c>
      <c r="E11" s="1">
        <v>40</v>
      </c>
      <c r="F11" s="1">
        <v>24</v>
      </c>
      <c r="G11" s="1">
        <v>40</v>
      </c>
      <c r="H11" s="1">
        <v>40</v>
      </c>
      <c r="I11" s="11">
        <v>24</v>
      </c>
    </row>
    <row r="12" spans="2:9" x14ac:dyDescent="0.35">
      <c r="B12" s="3" t="s">
        <v>12</v>
      </c>
      <c r="D12" s="28">
        <v>12</v>
      </c>
      <c r="E12" s="1">
        <v>12</v>
      </c>
      <c r="F12" s="1">
        <v>12</v>
      </c>
      <c r="G12" s="1">
        <v>12</v>
      </c>
      <c r="H12" s="1">
        <v>12</v>
      </c>
      <c r="I12" s="11">
        <v>12</v>
      </c>
    </row>
    <row r="13" spans="2:9" x14ac:dyDescent="0.35">
      <c r="B13" s="3" t="s">
        <v>13</v>
      </c>
      <c r="C13" s="1"/>
      <c r="D13" s="28">
        <v>1</v>
      </c>
      <c r="E13" s="1">
        <v>1</v>
      </c>
      <c r="F13" s="1">
        <v>1</v>
      </c>
      <c r="G13" s="1">
        <v>1</v>
      </c>
      <c r="H13" s="1">
        <v>1</v>
      </c>
      <c r="I13" s="11">
        <v>1</v>
      </c>
    </row>
    <row r="14" spans="2:9" x14ac:dyDescent="0.35">
      <c r="B14" s="5" t="s">
        <v>14</v>
      </c>
      <c r="C14" s="1"/>
      <c r="D14" s="28">
        <v>1</v>
      </c>
      <c r="E14" s="1">
        <v>1</v>
      </c>
      <c r="F14" s="1">
        <v>1</v>
      </c>
      <c r="G14" s="1">
        <v>1</v>
      </c>
      <c r="H14" s="1">
        <v>1</v>
      </c>
      <c r="I14" s="11">
        <v>1</v>
      </c>
    </row>
    <row r="15" spans="2:9" x14ac:dyDescent="0.35">
      <c r="B15" s="5" t="s">
        <v>15</v>
      </c>
      <c r="D15" s="28">
        <v>0</v>
      </c>
      <c r="E15" s="1">
        <v>0</v>
      </c>
      <c r="F15" s="1">
        <v>0</v>
      </c>
      <c r="G15" s="1">
        <v>0</v>
      </c>
      <c r="H15" s="1">
        <v>0</v>
      </c>
      <c r="I15" s="11">
        <v>0</v>
      </c>
    </row>
    <row r="16" spans="2:9" x14ac:dyDescent="0.35">
      <c r="B16" s="3" t="s">
        <v>16</v>
      </c>
      <c r="D16" s="26">
        <v>2</v>
      </c>
      <c r="E16">
        <v>2</v>
      </c>
      <c r="F16">
        <v>2</v>
      </c>
      <c r="G16">
        <v>2</v>
      </c>
      <c r="H16">
        <v>2</v>
      </c>
      <c r="I16" s="19">
        <v>2</v>
      </c>
    </row>
    <row r="17" spans="2:9" x14ac:dyDescent="0.35">
      <c r="B17" s="3" t="s">
        <v>17</v>
      </c>
      <c r="D17" s="26">
        <v>24</v>
      </c>
      <c r="E17">
        <v>13</v>
      </c>
      <c r="F17">
        <v>7</v>
      </c>
      <c r="G17">
        <v>24</v>
      </c>
      <c r="H17">
        <v>13</v>
      </c>
      <c r="I17" s="19">
        <v>7</v>
      </c>
    </row>
    <row r="18" spans="2:9" x14ac:dyDescent="0.35">
      <c r="B18" s="3" t="s">
        <v>18</v>
      </c>
      <c r="D18" s="28">
        <v>1</v>
      </c>
      <c r="E18" s="1">
        <v>1</v>
      </c>
      <c r="F18" s="1">
        <v>1</v>
      </c>
      <c r="G18" s="1">
        <v>1</v>
      </c>
      <c r="H18" s="1">
        <v>1</v>
      </c>
      <c r="I18" s="11">
        <v>1</v>
      </c>
    </row>
    <row r="19" spans="2:9" x14ac:dyDescent="0.35">
      <c r="B19" s="3" t="s">
        <v>19</v>
      </c>
      <c r="D19" s="28">
        <v>4</v>
      </c>
      <c r="E19" s="1">
        <v>4</v>
      </c>
      <c r="F19" s="1">
        <v>2</v>
      </c>
      <c r="G19" s="1">
        <v>4</v>
      </c>
      <c r="H19" s="1">
        <v>4</v>
      </c>
      <c r="I19" s="11">
        <v>2</v>
      </c>
    </row>
    <row r="20" spans="2:9" x14ac:dyDescent="0.35">
      <c r="B20" s="3" t="s">
        <v>20</v>
      </c>
      <c r="D20" s="28" t="s">
        <v>21</v>
      </c>
      <c r="E20" s="1" t="s">
        <v>21</v>
      </c>
      <c r="F20" s="1" t="s">
        <v>21</v>
      </c>
      <c r="G20" s="1" t="s">
        <v>21</v>
      </c>
      <c r="H20" s="1" t="s">
        <v>21</v>
      </c>
      <c r="I20" s="11" t="s">
        <v>21</v>
      </c>
    </row>
    <row r="21" spans="2:9" x14ac:dyDescent="0.35">
      <c r="B21" s="6" t="s">
        <v>22</v>
      </c>
      <c r="D21" s="29"/>
      <c r="E21" s="17"/>
      <c r="F21" s="17"/>
      <c r="G21" s="17"/>
      <c r="H21" s="17"/>
      <c r="I21" s="16"/>
    </row>
    <row r="22" spans="2:9" x14ac:dyDescent="0.35">
      <c r="B22" s="7" t="s">
        <v>23</v>
      </c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1" t="s">
        <v>24</v>
      </c>
    </row>
    <row r="23" spans="2:9" x14ac:dyDescent="0.35">
      <c r="B23" s="7" t="s">
        <v>25</v>
      </c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11">
        <v>0</v>
      </c>
    </row>
    <row r="24" spans="2:9" x14ac:dyDescent="0.35">
      <c r="B24" s="7" t="s">
        <v>26</v>
      </c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1" t="s">
        <v>27</v>
      </c>
    </row>
    <row r="25" spans="2:9" x14ac:dyDescent="0.35">
      <c r="B25" s="6" t="s">
        <v>28</v>
      </c>
      <c r="D25" s="29"/>
      <c r="E25" s="17"/>
      <c r="F25" s="17"/>
      <c r="G25" s="17"/>
      <c r="H25" s="17"/>
      <c r="I25" s="16"/>
    </row>
    <row r="26" spans="2:9" x14ac:dyDescent="0.35">
      <c r="B26" s="8" t="s">
        <v>29</v>
      </c>
      <c r="D26" s="28" cm="1">
        <f t="array" ref="D26">Comm_MCS_ModOrd(D16,D17)</f>
        <v>8</v>
      </c>
      <c r="E26" s="1" cm="1">
        <f t="array" ref="E26">Comm_MCS_ModOrd(E16,E17)</f>
        <v>6</v>
      </c>
      <c r="F26" s="1" cm="1">
        <f t="array" ref="F26">Comm_MCS_ModOrd(F16,F17)</f>
        <v>4</v>
      </c>
      <c r="G26" s="1" cm="1">
        <f t="array" ref="G26">Comm_MCS_ModOrd(G16,G17)</f>
        <v>8</v>
      </c>
      <c r="H26" s="1" cm="1">
        <f t="array" ref="H26">Comm_MCS_ModOrd(H16,H17)</f>
        <v>6</v>
      </c>
      <c r="I26" s="11" cm="1">
        <f t="array" ref="I26">Comm_MCS_ModOrd(I16,I17)</f>
        <v>4</v>
      </c>
    </row>
    <row r="27" spans="2:9" x14ac:dyDescent="0.35">
      <c r="B27" s="8" t="s">
        <v>30</v>
      </c>
      <c r="D27" s="28" cm="1">
        <f t="array" ref="D27">Comm_MCS_CodeRate(D16,D17)</f>
        <v>841</v>
      </c>
      <c r="E27" s="1" cm="1">
        <f t="array" ref="E27">Comm_MCS_CodeRate(E16,E17)</f>
        <v>567</v>
      </c>
      <c r="F27" s="1" cm="1">
        <f t="array" ref="F27">Comm_MCS_CodeRate(F16,F17)</f>
        <v>490</v>
      </c>
      <c r="G27" s="1" cm="1">
        <f t="array" ref="G27">Comm_MCS_CodeRate(G16,G17)</f>
        <v>841</v>
      </c>
      <c r="H27" s="1" cm="1">
        <f t="array" ref="H27">Comm_MCS_CodeRate(H16,H17)</f>
        <v>567</v>
      </c>
      <c r="I27" s="11" cm="1">
        <f t="array" ref="I27">Comm_MCS_CodeRate(I16,I17)</f>
        <v>490</v>
      </c>
    </row>
    <row r="28" spans="2:9" x14ac:dyDescent="0.35">
      <c r="B28" s="9" t="s">
        <v>31</v>
      </c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11" cm="1">
        <f t="array" ref="I28">Comm_Z(I11,I26,I27,I12,I13,I10/I18)</f>
        <v>384</v>
      </c>
    </row>
    <row r="29" spans="2:9" x14ac:dyDescent="0.35">
      <c r="B29" s="9" t="s">
        <v>32</v>
      </c>
      <c r="D29" s="28" cm="1">
        <f t="array" ref="D29">Comm_TBS(D11,D26,D27,D12,D13,D10/D18)</f>
        <v>139376</v>
      </c>
      <c r="E29" s="1" cm="1">
        <f t="array" ref="E29">Comm_TBS(E11,E26,E27,E12,E13,E10/E18)</f>
        <v>69672</v>
      </c>
      <c r="F29" s="1" cm="1">
        <f t="array" ref="F29">Comm_TBS(F11,F26,F27,F12,F13,F10/F18)</f>
        <v>24072</v>
      </c>
      <c r="G29" s="1" cm="1">
        <f t="array" ref="G29">Comm_TBS(G11,G26,G27,G12,G13,G10/G18)</f>
        <v>139376</v>
      </c>
      <c r="H29" s="1" cm="1">
        <f t="array" ref="H29">Comm_TBS(H11,H26,H27,H12,H13,H10/H18)</f>
        <v>69672</v>
      </c>
      <c r="I29" s="11" cm="1">
        <f t="array" ref="I29">Comm_TBS(I11,I26,I27,I12,I13,I10/I18)</f>
        <v>24072</v>
      </c>
    </row>
    <row r="30" spans="2:9" x14ac:dyDescent="0.35">
      <c r="B30" s="9" t="s">
        <v>33</v>
      </c>
      <c r="D30" s="28" cm="1">
        <f t="array" ref="D30">Comm_CB(D11,D26,D27,D12,D13,D10/D18)</f>
        <v>17</v>
      </c>
      <c r="E30" s="1" cm="1">
        <f t="array" ref="E30">Comm_CB(E11,E26,E27,E12,E13,E10/E18)</f>
        <v>9</v>
      </c>
      <c r="F30" s="1" cm="1">
        <f t="array" ref="F30">Comm_CB(F11,F26,F27,F12,F13,F10/F18)</f>
        <v>3</v>
      </c>
      <c r="G30" s="1" cm="1">
        <f t="array" ref="G30">Comm_CB(G11,G26,G27,G12,G13,G10/G18)</f>
        <v>17</v>
      </c>
      <c r="H30" s="1" cm="1">
        <f t="array" ref="H30">Comm_CB(H11,H26,H27,H12,H13,H10/H18)</f>
        <v>9</v>
      </c>
      <c r="I30" s="11" cm="1">
        <f t="array" ref="I30">Comm_CB(I11,I26,I27,I12,I13,I10/I18)</f>
        <v>3</v>
      </c>
    </row>
    <row r="31" spans="2:9" x14ac:dyDescent="0.35">
      <c r="B31" s="9" t="s">
        <v>34</v>
      </c>
      <c r="D31" s="30" cm="1">
        <f t="array" ref="D31">Comm_Parity_Nodes(D11,D26,D27,D12,D13,D10/D18)</f>
        <v>7</v>
      </c>
      <c r="E31" s="31" cm="1">
        <f t="array" ref="E31">Comm_Parity_Nodes(E11,E26,E27,E12,E13,E10/E18)</f>
        <v>19</v>
      </c>
      <c r="F31" s="31" cm="1">
        <f t="array" ref="F31">Comm_Parity_Nodes(F11,F26,F27,F12,F13,F10/F18)</f>
        <v>26</v>
      </c>
      <c r="G31" s="31" cm="1">
        <f t="array" ref="G31">Comm_Parity_Nodes(G11,G26,G27,G12,G13,G10/G18)</f>
        <v>7</v>
      </c>
      <c r="H31" s="31" cm="1">
        <f t="array" ref="H31">Comm_Parity_Nodes(H11,H26,H27,H12,H13,H10/H18)</f>
        <v>19</v>
      </c>
      <c r="I31" s="12" cm="1">
        <f t="array" ref="I31">Comm_Parity_Nodes(I11,I26,I27,I12,I13,I10/I18)</f>
        <v>26</v>
      </c>
    </row>
    <row r="32" spans="2:9" x14ac:dyDescent="0.35">
      <c r="B32" s="6" t="s">
        <v>35</v>
      </c>
      <c r="D32" s="37"/>
      <c r="E32" s="18"/>
      <c r="F32" s="18"/>
      <c r="G32" s="18"/>
      <c r="H32" s="18"/>
      <c r="I32" s="13"/>
    </row>
    <row r="33" spans="2:9" x14ac:dyDescent="0.35">
      <c r="B33" s="9" t="s">
        <v>36</v>
      </c>
      <c r="D33" s="26"/>
      <c r="I33" s="19"/>
    </row>
    <row r="34" spans="2:9" ht="15" thickBot="1" x14ac:dyDescent="0.4">
      <c r="B34" s="9" t="s">
        <v>56</v>
      </c>
      <c r="D34" s="38">
        <f>SUMPRODUCT(D18:I18, D29:I29) /1000/1000</f>
        <v>0.46623999999999999</v>
      </c>
      <c r="E34" s="32"/>
      <c r="F34" s="32"/>
      <c r="G34" s="32"/>
      <c r="H34" s="32"/>
      <c r="I34" s="3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8963-F960-432F-B48D-3E42A91913DC}">
  <dimension ref="B1:L34"/>
  <sheetViews>
    <sheetView topLeftCell="B6" zoomScaleNormal="100" workbookViewId="0">
      <selection activeCell="P24" sqref="P2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12" ht="15" thickBot="1" x14ac:dyDescent="0.4"/>
    <row r="2" spans="2:12" x14ac:dyDescent="0.35">
      <c r="B2" s="2" t="s">
        <v>0</v>
      </c>
      <c r="C2" s="1"/>
      <c r="D2" s="21" t="s">
        <v>37</v>
      </c>
      <c r="E2" s="24"/>
      <c r="F2" s="24"/>
      <c r="G2" s="24" t="s">
        <v>38</v>
      </c>
      <c r="H2" s="24"/>
      <c r="I2" s="24"/>
      <c r="J2" s="24"/>
      <c r="K2" s="25"/>
    </row>
    <row r="3" spans="2:12" x14ac:dyDescent="0.35">
      <c r="B3" s="3" t="s">
        <v>3</v>
      </c>
      <c r="C3" s="1"/>
      <c r="D3" s="26">
        <v>20</v>
      </c>
      <c r="E3">
        <v>20</v>
      </c>
      <c r="F3">
        <v>20</v>
      </c>
      <c r="G3">
        <v>20</v>
      </c>
      <c r="H3">
        <v>20</v>
      </c>
      <c r="I3">
        <v>20</v>
      </c>
      <c r="J3">
        <v>20</v>
      </c>
      <c r="K3" s="19">
        <v>20</v>
      </c>
    </row>
    <row r="4" spans="2:12" x14ac:dyDescent="0.35">
      <c r="B4" s="3" t="s">
        <v>4</v>
      </c>
      <c r="C4" s="1"/>
      <c r="D4" s="26">
        <v>104</v>
      </c>
      <c r="E4">
        <v>104</v>
      </c>
      <c r="F4">
        <v>104</v>
      </c>
      <c r="G4">
        <v>104</v>
      </c>
      <c r="H4">
        <v>104</v>
      </c>
      <c r="I4">
        <v>104</v>
      </c>
      <c r="J4">
        <v>104</v>
      </c>
      <c r="K4" s="19">
        <v>104</v>
      </c>
    </row>
    <row r="5" spans="2:12" x14ac:dyDescent="0.35">
      <c r="B5" s="3" t="s">
        <v>5</v>
      </c>
      <c r="D5" s="26">
        <v>104</v>
      </c>
      <c r="E5">
        <v>104</v>
      </c>
      <c r="F5">
        <v>104</v>
      </c>
      <c r="G5">
        <v>104</v>
      </c>
      <c r="H5">
        <v>104</v>
      </c>
      <c r="I5">
        <v>104</v>
      </c>
      <c r="J5">
        <v>104</v>
      </c>
      <c r="K5" s="19">
        <v>104</v>
      </c>
    </row>
    <row r="6" spans="2:12" x14ac:dyDescent="0.35">
      <c r="B6" s="3" t="s">
        <v>6</v>
      </c>
      <c r="C6" s="1"/>
      <c r="D6" s="26">
        <v>1</v>
      </c>
      <c r="E6">
        <v>2</v>
      </c>
      <c r="F6">
        <v>3</v>
      </c>
      <c r="G6">
        <v>1</v>
      </c>
      <c r="H6">
        <v>2</v>
      </c>
      <c r="I6">
        <v>3</v>
      </c>
      <c r="J6">
        <v>4</v>
      </c>
      <c r="K6" s="19">
        <v>5</v>
      </c>
    </row>
    <row r="7" spans="2:12" x14ac:dyDescent="0.35">
      <c r="B7" s="3" t="s">
        <v>7</v>
      </c>
      <c r="C7" s="1"/>
      <c r="D7" s="39">
        <v>0.38</v>
      </c>
      <c r="E7" s="10">
        <v>0.38</v>
      </c>
      <c r="F7" s="10">
        <v>0.24</v>
      </c>
      <c r="G7" s="10">
        <v>0.14000000000000001</v>
      </c>
      <c r="H7" s="10">
        <v>0.24</v>
      </c>
      <c r="I7" s="10">
        <v>0.14000000000000001</v>
      </c>
      <c r="J7" s="10">
        <v>0.24</v>
      </c>
      <c r="K7" s="20">
        <v>0.24</v>
      </c>
      <c r="L7" s="10"/>
    </row>
    <row r="8" spans="2:12" x14ac:dyDescent="0.35">
      <c r="B8" s="4" t="s">
        <v>8</v>
      </c>
      <c r="C8" s="1"/>
      <c r="D8" s="26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s="19">
        <v>0</v>
      </c>
    </row>
    <row r="9" spans="2:12" x14ac:dyDescent="0.35">
      <c r="B9" s="4" t="s">
        <v>9</v>
      </c>
      <c r="C9" s="1"/>
      <c r="D9" s="26">
        <v>4</v>
      </c>
      <c r="E9">
        <v>4</v>
      </c>
      <c r="F9">
        <v>4</v>
      </c>
      <c r="G9">
        <v>4</v>
      </c>
      <c r="H9">
        <v>4</v>
      </c>
      <c r="I9">
        <v>4</v>
      </c>
      <c r="J9">
        <v>4</v>
      </c>
      <c r="K9" s="19">
        <v>4</v>
      </c>
    </row>
    <row r="10" spans="2:12" x14ac:dyDescent="0.35">
      <c r="B10" s="4" t="s">
        <v>10</v>
      </c>
      <c r="C10" s="1"/>
      <c r="D10" s="26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 s="19">
        <v>1</v>
      </c>
    </row>
    <row r="11" spans="2:12" x14ac:dyDescent="0.35">
      <c r="B11" s="3" t="s">
        <v>11</v>
      </c>
      <c r="C11" s="1"/>
      <c r="D11" s="26">
        <v>40</v>
      </c>
      <c r="E11">
        <v>40</v>
      </c>
      <c r="F11">
        <v>24</v>
      </c>
      <c r="G11">
        <v>16</v>
      </c>
      <c r="H11">
        <v>24</v>
      </c>
      <c r="I11">
        <v>16</v>
      </c>
      <c r="J11">
        <v>24</v>
      </c>
      <c r="K11" s="19">
        <v>24</v>
      </c>
    </row>
    <row r="12" spans="2:12" x14ac:dyDescent="0.35">
      <c r="B12" s="3" t="s">
        <v>39</v>
      </c>
      <c r="C12" s="1"/>
      <c r="D12" s="26">
        <v>13</v>
      </c>
      <c r="E12">
        <v>13</v>
      </c>
      <c r="F12">
        <v>13</v>
      </c>
      <c r="G12">
        <v>13</v>
      </c>
      <c r="H12">
        <v>13</v>
      </c>
      <c r="I12">
        <v>13</v>
      </c>
      <c r="J12">
        <v>13</v>
      </c>
      <c r="K12" s="19">
        <v>13</v>
      </c>
    </row>
    <row r="13" spans="2:12" x14ac:dyDescent="0.35">
      <c r="B13" s="3" t="s">
        <v>40</v>
      </c>
      <c r="C13" s="1"/>
      <c r="D13" s="26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 s="19">
        <v>1</v>
      </c>
    </row>
    <row r="14" spans="2:12" x14ac:dyDescent="0.35">
      <c r="B14" s="5" t="s">
        <v>14</v>
      </c>
      <c r="C14" s="1"/>
      <c r="D14" s="26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 s="19">
        <v>1</v>
      </c>
    </row>
    <row r="15" spans="2:12" x14ac:dyDescent="0.35">
      <c r="B15" s="5" t="s">
        <v>15</v>
      </c>
      <c r="C15" s="1"/>
      <c r="D15" s="26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s="19">
        <v>0</v>
      </c>
    </row>
    <row r="16" spans="2:12" x14ac:dyDescent="0.35">
      <c r="B16" s="3" t="s">
        <v>16</v>
      </c>
      <c r="C16" s="1"/>
      <c r="D16" s="28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1">
        <v>2</v>
      </c>
    </row>
    <row r="17" spans="2:11" x14ac:dyDescent="0.35">
      <c r="B17" s="3" t="s">
        <v>17</v>
      </c>
      <c r="C17" s="1"/>
      <c r="D17" s="26">
        <v>24</v>
      </c>
      <c r="E17">
        <v>13</v>
      </c>
      <c r="F17">
        <v>7</v>
      </c>
      <c r="G17">
        <v>24</v>
      </c>
      <c r="H17">
        <v>24</v>
      </c>
      <c r="I17">
        <v>13</v>
      </c>
      <c r="J17">
        <v>13</v>
      </c>
      <c r="K17" s="19">
        <v>7</v>
      </c>
    </row>
    <row r="18" spans="2:11" x14ac:dyDescent="0.35">
      <c r="B18" s="3" t="s">
        <v>18</v>
      </c>
      <c r="C18" s="1"/>
      <c r="D18" s="26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 s="19">
        <v>1</v>
      </c>
    </row>
    <row r="19" spans="2:11" x14ac:dyDescent="0.35">
      <c r="B19" s="3" t="s">
        <v>19</v>
      </c>
      <c r="C19" s="1"/>
      <c r="D19" s="26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 s="19">
        <v>1</v>
      </c>
    </row>
    <row r="20" spans="2:11" x14ac:dyDescent="0.35">
      <c r="B20" s="3" t="s">
        <v>20</v>
      </c>
      <c r="C20" s="1"/>
      <c r="D20" s="28" t="s">
        <v>21</v>
      </c>
      <c r="E20" s="1" t="s">
        <v>21</v>
      </c>
      <c r="F20" s="1" t="s">
        <v>21</v>
      </c>
      <c r="G20" s="1" t="s">
        <v>21</v>
      </c>
      <c r="H20" s="1" t="s">
        <v>21</v>
      </c>
      <c r="I20" s="1" t="s">
        <v>21</v>
      </c>
      <c r="J20" s="1" t="s">
        <v>21</v>
      </c>
      <c r="K20" s="11" t="s">
        <v>21</v>
      </c>
    </row>
    <row r="21" spans="2:11" x14ac:dyDescent="0.35">
      <c r="B21" s="6" t="s">
        <v>22</v>
      </c>
      <c r="C21" s="1"/>
      <c r="D21" s="29"/>
      <c r="E21" s="17"/>
      <c r="F21" s="17"/>
      <c r="G21" s="17"/>
      <c r="H21" s="17"/>
      <c r="I21" s="17"/>
      <c r="J21" s="17"/>
      <c r="K21" s="16"/>
    </row>
    <row r="22" spans="2:11" x14ac:dyDescent="0.35">
      <c r="B22" s="7" t="s">
        <v>23</v>
      </c>
      <c r="C22" s="1"/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1" t="s">
        <v>24</v>
      </c>
      <c r="K22" s="11" t="s">
        <v>24</v>
      </c>
    </row>
    <row r="23" spans="2:11" x14ac:dyDescent="0.35">
      <c r="B23" s="7" t="s">
        <v>25</v>
      </c>
      <c r="C23" s="1"/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1">
        <v>0</v>
      </c>
    </row>
    <row r="24" spans="2:11" x14ac:dyDescent="0.35">
      <c r="B24" s="7" t="s">
        <v>26</v>
      </c>
      <c r="C24" s="1"/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1" t="s">
        <v>27</v>
      </c>
      <c r="K24" s="11" t="s">
        <v>27</v>
      </c>
    </row>
    <row r="25" spans="2:11" x14ac:dyDescent="0.35">
      <c r="B25" s="6" t="s">
        <v>28</v>
      </c>
      <c r="C25" s="1"/>
      <c r="D25" s="29"/>
      <c r="E25" s="17"/>
      <c r="F25" s="17"/>
      <c r="G25" s="17"/>
      <c r="H25" s="17"/>
      <c r="I25" s="17"/>
      <c r="J25" s="17"/>
      <c r="K25" s="16"/>
    </row>
    <row r="26" spans="2:11" x14ac:dyDescent="0.35">
      <c r="B26" s="8" t="s">
        <v>29</v>
      </c>
      <c r="C26" s="1"/>
      <c r="D26" s="26">
        <v>8</v>
      </c>
      <c r="E26">
        <v>6</v>
      </c>
      <c r="F26">
        <v>4</v>
      </c>
      <c r="G26">
        <v>8</v>
      </c>
      <c r="H26">
        <v>8</v>
      </c>
      <c r="I26">
        <v>6</v>
      </c>
      <c r="J26">
        <v>6</v>
      </c>
      <c r="K26" s="19">
        <v>4</v>
      </c>
    </row>
    <row r="27" spans="2:11" x14ac:dyDescent="0.35">
      <c r="B27" s="8" t="s">
        <v>30</v>
      </c>
      <c r="C27" s="1"/>
      <c r="D27" s="26">
        <v>841</v>
      </c>
      <c r="E27">
        <v>567</v>
      </c>
      <c r="F27">
        <v>490</v>
      </c>
      <c r="G27">
        <v>841</v>
      </c>
      <c r="H27">
        <v>841</v>
      </c>
      <c r="I27">
        <v>567</v>
      </c>
      <c r="J27">
        <v>567</v>
      </c>
      <c r="K27" s="19">
        <v>490</v>
      </c>
    </row>
    <row r="28" spans="2:11" x14ac:dyDescent="0.35">
      <c r="B28" s="9" t="s">
        <v>31</v>
      </c>
      <c r="C28" s="1"/>
      <c r="D28" s="26">
        <v>352</v>
      </c>
      <c r="E28">
        <v>320</v>
      </c>
      <c r="F28">
        <v>320</v>
      </c>
      <c r="G28">
        <v>352</v>
      </c>
      <c r="H28">
        <v>352</v>
      </c>
      <c r="I28">
        <v>320</v>
      </c>
      <c r="J28">
        <v>320</v>
      </c>
      <c r="K28" s="19">
        <v>320</v>
      </c>
    </row>
    <row r="29" spans="2:11" x14ac:dyDescent="0.35">
      <c r="B29" s="9" t="s">
        <v>32</v>
      </c>
      <c r="C29" s="1"/>
      <c r="D29" s="26">
        <v>37896</v>
      </c>
      <c r="E29">
        <v>18960</v>
      </c>
      <c r="F29">
        <v>6528</v>
      </c>
      <c r="G29">
        <v>37896</v>
      </c>
      <c r="H29">
        <v>37896</v>
      </c>
      <c r="I29">
        <v>18960</v>
      </c>
      <c r="J29">
        <v>18960</v>
      </c>
      <c r="K29" s="19">
        <v>6528</v>
      </c>
    </row>
    <row r="30" spans="2:11" x14ac:dyDescent="0.35">
      <c r="B30" s="9" t="s">
        <v>33</v>
      </c>
      <c r="C30" s="1"/>
      <c r="D30" s="26">
        <v>5</v>
      </c>
      <c r="E30">
        <v>3</v>
      </c>
      <c r="F30">
        <v>1</v>
      </c>
      <c r="G30">
        <v>5</v>
      </c>
      <c r="H30">
        <v>5</v>
      </c>
      <c r="I30">
        <v>3</v>
      </c>
      <c r="J30">
        <v>3</v>
      </c>
      <c r="K30" s="19">
        <v>1</v>
      </c>
    </row>
    <row r="31" spans="2:11" x14ac:dyDescent="0.35">
      <c r="B31" s="9" t="s">
        <v>34</v>
      </c>
      <c r="D31" s="26">
        <v>7</v>
      </c>
      <c r="E31">
        <v>19</v>
      </c>
      <c r="F31">
        <v>25</v>
      </c>
      <c r="G31">
        <v>7</v>
      </c>
      <c r="H31">
        <v>7</v>
      </c>
      <c r="I31">
        <v>19</v>
      </c>
      <c r="J31">
        <v>19</v>
      </c>
      <c r="K31" s="19">
        <v>25</v>
      </c>
    </row>
    <row r="32" spans="2:11" x14ac:dyDescent="0.35">
      <c r="B32" s="6" t="s">
        <v>35</v>
      </c>
      <c r="D32" s="29"/>
      <c r="E32" s="17"/>
      <c r="F32" s="17"/>
      <c r="G32" s="17"/>
      <c r="H32" s="17"/>
      <c r="I32" s="17"/>
      <c r="J32" s="17"/>
      <c r="K32" s="16"/>
    </row>
    <row r="33" spans="2:11" x14ac:dyDescent="0.35">
      <c r="B33" s="9" t="s">
        <v>36</v>
      </c>
      <c r="D33" s="26"/>
      <c r="K33" s="19"/>
    </row>
    <row r="34" spans="2:11" ht="15" thickBot="1" x14ac:dyDescent="0.4">
      <c r="B34" s="9" t="s">
        <v>56</v>
      </c>
      <c r="D34" s="38">
        <f>SUMPRODUCT(D18:K18, D29:K29) /1000/1000</f>
        <v>0.18362399999999998</v>
      </c>
      <c r="E34" s="32"/>
      <c r="F34" s="32"/>
      <c r="G34" s="32"/>
      <c r="H34" s="32"/>
      <c r="I34" s="32"/>
      <c r="J34" s="32"/>
      <c r="K34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AF06-660E-4C87-92B6-5C9221571D00}">
  <sheetPr codeName="Sheet1"/>
  <dimension ref="B1:BQ36"/>
  <sheetViews>
    <sheetView topLeftCell="A3" zoomScale="85" zoomScaleNormal="85" workbookViewId="0">
      <selection activeCell="L37" sqref="L37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69" ht="15" thickBot="1" x14ac:dyDescent="0.4"/>
    <row r="2" spans="2:69" x14ac:dyDescent="0.35">
      <c r="B2" s="2" t="s">
        <v>0</v>
      </c>
      <c r="D2" s="21" t="s">
        <v>41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5"/>
      <c r="T2" s="21" t="s">
        <v>78</v>
      </c>
      <c r="U2" s="24"/>
      <c r="V2" s="24"/>
      <c r="W2" s="24"/>
      <c r="X2" s="24"/>
      <c r="Y2" s="24"/>
      <c r="Z2" s="21" t="s">
        <v>79</v>
      </c>
      <c r="AA2" s="24"/>
      <c r="AB2" s="24"/>
      <c r="AC2" s="24"/>
      <c r="AD2" s="24"/>
      <c r="AE2" s="24"/>
      <c r="AF2" s="34" t="s">
        <v>42</v>
      </c>
      <c r="AG2" s="35"/>
      <c r="AH2" s="36"/>
      <c r="AI2" s="34" t="s">
        <v>43</v>
      </c>
      <c r="AJ2" s="35"/>
      <c r="AK2" s="35"/>
      <c r="AL2" s="35"/>
      <c r="AM2" s="35"/>
      <c r="AN2" s="35"/>
      <c r="AO2" s="36"/>
      <c r="AP2" s="21" t="s">
        <v>57</v>
      </c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5"/>
      <c r="BF2" s="21" t="s">
        <v>134</v>
      </c>
      <c r="BG2" s="24"/>
      <c r="BH2" s="24"/>
      <c r="BI2" s="24"/>
      <c r="BJ2" s="24"/>
      <c r="BK2" s="24"/>
      <c r="BL2" s="21" t="s">
        <v>135</v>
      </c>
      <c r="BM2" s="24"/>
      <c r="BN2" s="24"/>
      <c r="BO2" s="24"/>
      <c r="BP2" s="24"/>
      <c r="BQ2" s="24"/>
    </row>
    <row r="3" spans="2:69" x14ac:dyDescent="0.35">
      <c r="B3" s="3" t="s">
        <v>3</v>
      </c>
      <c r="D3" s="28">
        <v>100</v>
      </c>
      <c r="E3" s="1">
        <v>100</v>
      </c>
      <c r="F3" s="1">
        <v>100</v>
      </c>
      <c r="G3" s="1">
        <v>100</v>
      </c>
      <c r="H3" s="1">
        <v>100</v>
      </c>
      <c r="I3" s="1">
        <v>100</v>
      </c>
      <c r="J3" s="1">
        <v>100</v>
      </c>
      <c r="K3" s="1">
        <v>100</v>
      </c>
      <c r="L3" s="1">
        <v>100</v>
      </c>
      <c r="M3" s="1">
        <v>100</v>
      </c>
      <c r="N3" s="1">
        <v>100</v>
      </c>
      <c r="O3" s="1">
        <v>100</v>
      </c>
      <c r="P3" s="1">
        <v>100</v>
      </c>
      <c r="Q3" s="1">
        <v>100</v>
      </c>
      <c r="R3" s="1">
        <v>100</v>
      </c>
      <c r="S3" s="11">
        <v>100</v>
      </c>
      <c r="T3" s="28">
        <v>100</v>
      </c>
      <c r="U3" s="1">
        <v>100</v>
      </c>
      <c r="V3" s="1">
        <v>100</v>
      </c>
      <c r="W3" s="1">
        <v>100</v>
      </c>
      <c r="X3" s="1">
        <v>100</v>
      </c>
      <c r="Y3" s="1">
        <v>100</v>
      </c>
      <c r="Z3" s="28">
        <v>100</v>
      </c>
      <c r="AA3" s="1">
        <v>100</v>
      </c>
      <c r="AB3" s="1">
        <v>100</v>
      </c>
      <c r="AC3" s="1">
        <v>100</v>
      </c>
      <c r="AD3" s="1">
        <v>100</v>
      </c>
      <c r="AE3" s="1">
        <v>100</v>
      </c>
      <c r="AF3" s="28">
        <v>100</v>
      </c>
      <c r="AG3" s="1">
        <v>100</v>
      </c>
      <c r="AH3" s="11">
        <v>100</v>
      </c>
      <c r="AI3" s="28">
        <v>100</v>
      </c>
      <c r="AJ3" s="1">
        <v>100</v>
      </c>
      <c r="AK3" s="1">
        <v>100</v>
      </c>
      <c r="AL3" s="1">
        <v>100</v>
      </c>
      <c r="AM3" s="1">
        <v>100</v>
      </c>
      <c r="AN3" s="1">
        <v>100</v>
      </c>
      <c r="AO3" s="11">
        <v>100</v>
      </c>
      <c r="AP3" s="28">
        <v>100</v>
      </c>
      <c r="AQ3" s="1">
        <v>100</v>
      </c>
      <c r="AR3" s="1">
        <v>100</v>
      </c>
      <c r="AS3" s="1">
        <v>100</v>
      </c>
      <c r="AT3" s="1">
        <v>100</v>
      </c>
      <c r="AU3" s="1">
        <v>100</v>
      </c>
      <c r="AV3" s="1">
        <v>100</v>
      </c>
      <c r="AW3" s="1">
        <v>100</v>
      </c>
      <c r="AX3" s="1">
        <v>100</v>
      </c>
      <c r="AY3" s="1">
        <v>100</v>
      </c>
      <c r="AZ3" s="1">
        <v>100</v>
      </c>
      <c r="BA3" s="1">
        <v>100</v>
      </c>
      <c r="BB3" s="1">
        <v>100</v>
      </c>
      <c r="BC3" s="1">
        <v>100</v>
      </c>
      <c r="BD3" s="1">
        <v>100</v>
      </c>
      <c r="BE3" s="11">
        <v>100</v>
      </c>
      <c r="BF3" s="28">
        <v>20</v>
      </c>
      <c r="BG3" s="1">
        <v>20</v>
      </c>
      <c r="BH3" s="1">
        <v>20</v>
      </c>
      <c r="BI3" s="1">
        <v>20</v>
      </c>
      <c r="BJ3" s="1">
        <v>20</v>
      </c>
      <c r="BK3" s="1">
        <v>20</v>
      </c>
      <c r="BL3" s="28">
        <v>20</v>
      </c>
      <c r="BM3" s="1">
        <v>20</v>
      </c>
      <c r="BN3" s="1">
        <v>20</v>
      </c>
      <c r="BO3" s="1">
        <v>20</v>
      </c>
      <c r="BP3" s="1">
        <v>20</v>
      </c>
      <c r="BQ3" s="1">
        <v>20</v>
      </c>
    </row>
    <row r="4" spans="2:69" x14ac:dyDescent="0.35">
      <c r="B4" s="3" t="s">
        <v>4</v>
      </c>
      <c r="D4" s="28">
        <v>273</v>
      </c>
      <c r="E4" s="1">
        <v>273</v>
      </c>
      <c r="F4" s="1">
        <v>273</v>
      </c>
      <c r="G4" s="1">
        <v>273</v>
      </c>
      <c r="H4" s="1">
        <v>273</v>
      </c>
      <c r="I4" s="1">
        <v>273</v>
      </c>
      <c r="J4" s="1">
        <v>273</v>
      </c>
      <c r="K4" s="1">
        <v>273</v>
      </c>
      <c r="L4" s="1">
        <v>273</v>
      </c>
      <c r="M4" s="1">
        <v>273</v>
      </c>
      <c r="N4" s="1">
        <v>273</v>
      </c>
      <c r="O4" s="1">
        <v>273</v>
      </c>
      <c r="P4" s="1">
        <v>273</v>
      </c>
      <c r="Q4" s="1">
        <v>273</v>
      </c>
      <c r="R4" s="1">
        <v>273</v>
      </c>
      <c r="S4" s="11">
        <v>273</v>
      </c>
      <c r="T4" s="28">
        <v>273</v>
      </c>
      <c r="U4" s="1">
        <v>273</v>
      </c>
      <c r="V4" s="1">
        <v>273</v>
      </c>
      <c r="W4" s="1">
        <v>273</v>
      </c>
      <c r="X4" s="1">
        <v>273</v>
      </c>
      <c r="Y4" s="1">
        <v>273</v>
      </c>
      <c r="Z4" s="28">
        <v>273</v>
      </c>
      <c r="AA4" s="1">
        <v>273</v>
      </c>
      <c r="AB4" s="1">
        <v>273</v>
      </c>
      <c r="AC4" s="1">
        <v>273</v>
      </c>
      <c r="AD4" s="1">
        <v>273</v>
      </c>
      <c r="AE4" s="1">
        <v>273</v>
      </c>
      <c r="AF4" s="28">
        <v>273</v>
      </c>
      <c r="AG4" s="1">
        <v>273</v>
      </c>
      <c r="AH4" s="11">
        <v>273</v>
      </c>
      <c r="AI4" s="28">
        <v>273</v>
      </c>
      <c r="AJ4" s="1">
        <v>273</v>
      </c>
      <c r="AK4" s="1">
        <v>273</v>
      </c>
      <c r="AL4" s="1">
        <v>273</v>
      </c>
      <c r="AM4" s="1">
        <v>273</v>
      </c>
      <c r="AN4" s="1">
        <v>273</v>
      </c>
      <c r="AO4" s="11">
        <v>273</v>
      </c>
      <c r="AP4" s="28">
        <v>273</v>
      </c>
      <c r="AQ4" s="1">
        <v>273</v>
      </c>
      <c r="AR4" s="1">
        <v>273</v>
      </c>
      <c r="AS4" s="1">
        <v>273</v>
      </c>
      <c r="AT4" s="1">
        <v>273</v>
      </c>
      <c r="AU4" s="1">
        <v>273</v>
      </c>
      <c r="AV4" s="1">
        <v>273</v>
      </c>
      <c r="AW4" s="1">
        <v>273</v>
      </c>
      <c r="AX4" s="1">
        <v>273</v>
      </c>
      <c r="AY4" s="1">
        <v>273</v>
      </c>
      <c r="AZ4" s="1">
        <v>273</v>
      </c>
      <c r="BA4" s="1">
        <v>273</v>
      </c>
      <c r="BB4" s="1">
        <v>273</v>
      </c>
      <c r="BC4" s="1">
        <v>273</v>
      </c>
      <c r="BD4" s="1">
        <v>273</v>
      </c>
      <c r="BE4" s="11">
        <v>273</v>
      </c>
      <c r="BF4" s="28">
        <v>51</v>
      </c>
      <c r="BG4" s="1">
        <v>51</v>
      </c>
      <c r="BH4" s="1">
        <v>51</v>
      </c>
      <c r="BI4" s="1">
        <v>51</v>
      </c>
      <c r="BJ4" s="1">
        <v>51</v>
      </c>
      <c r="BK4" s="1">
        <v>51</v>
      </c>
      <c r="BL4" s="28">
        <v>51</v>
      </c>
      <c r="BM4" s="1">
        <v>51</v>
      </c>
      <c r="BN4" s="1">
        <v>51</v>
      </c>
      <c r="BO4" s="1">
        <v>51</v>
      </c>
      <c r="BP4" s="1">
        <v>51</v>
      </c>
      <c r="BQ4" s="1">
        <v>51</v>
      </c>
    </row>
    <row r="5" spans="2:69" x14ac:dyDescent="0.35">
      <c r="B5" s="3" t="s">
        <v>5</v>
      </c>
      <c r="D5" s="28">
        <v>272</v>
      </c>
      <c r="E5" s="1">
        <v>272</v>
      </c>
      <c r="F5" s="1">
        <v>272</v>
      </c>
      <c r="G5" s="1">
        <v>272</v>
      </c>
      <c r="H5" s="1">
        <v>272</v>
      </c>
      <c r="I5" s="1">
        <v>272</v>
      </c>
      <c r="J5" s="1">
        <v>272</v>
      </c>
      <c r="K5" s="1">
        <v>272</v>
      </c>
      <c r="L5" s="1">
        <v>272</v>
      </c>
      <c r="M5" s="1">
        <v>272</v>
      </c>
      <c r="N5" s="1">
        <v>272</v>
      </c>
      <c r="O5" s="1">
        <v>272</v>
      </c>
      <c r="P5" s="1">
        <v>272</v>
      </c>
      <c r="Q5" s="1">
        <v>272</v>
      </c>
      <c r="R5" s="1">
        <v>272</v>
      </c>
      <c r="S5" s="11">
        <v>272</v>
      </c>
      <c r="T5" s="28">
        <v>272</v>
      </c>
      <c r="U5" s="1">
        <v>272</v>
      </c>
      <c r="V5" s="1">
        <v>272</v>
      </c>
      <c r="W5" s="1">
        <v>272</v>
      </c>
      <c r="X5" s="1">
        <v>272</v>
      </c>
      <c r="Y5" s="1">
        <v>272</v>
      </c>
      <c r="Z5" s="28">
        <v>272</v>
      </c>
      <c r="AA5" s="1">
        <v>272</v>
      </c>
      <c r="AB5" s="1">
        <v>272</v>
      </c>
      <c r="AC5" s="1">
        <v>272</v>
      </c>
      <c r="AD5" s="1">
        <v>272</v>
      </c>
      <c r="AE5" s="1">
        <v>272</v>
      </c>
      <c r="AF5" s="28">
        <v>96</v>
      </c>
      <c r="AG5" s="1">
        <v>96</v>
      </c>
      <c r="AH5" s="11">
        <v>96</v>
      </c>
      <c r="AI5" s="28">
        <v>96</v>
      </c>
      <c r="AJ5" s="1">
        <v>96</v>
      </c>
      <c r="AK5" s="1">
        <v>96</v>
      </c>
      <c r="AL5" s="1">
        <v>96</v>
      </c>
      <c r="AM5" s="1">
        <v>96</v>
      </c>
      <c r="AN5" s="1">
        <v>96</v>
      </c>
      <c r="AO5" s="11">
        <v>96</v>
      </c>
      <c r="AP5" s="28">
        <v>272</v>
      </c>
      <c r="AQ5" s="1">
        <v>272</v>
      </c>
      <c r="AR5" s="1">
        <v>272</v>
      </c>
      <c r="AS5" s="1">
        <v>272</v>
      </c>
      <c r="AT5" s="1">
        <v>272</v>
      </c>
      <c r="AU5" s="1">
        <v>272</v>
      </c>
      <c r="AV5" s="1">
        <v>272</v>
      </c>
      <c r="AW5" s="1">
        <v>272</v>
      </c>
      <c r="AX5" s="1">
        <v>272</v>
      </c>
      <c r="AY5" s="1">
        <v>272</v>
      </c>
      <c r="AZ5" s="1">
        <v>272</v>
      </c>
      <c r="BA5" s="1">
        <v>272</v>
      </c>
      <c r="BB5" s="1">
        <v>272</v>
      </c>
      <c r="BC5" s="1">
        <v>272</v>
      </c>
      <c r="BD5" s="1">
        <v>272</v>
      </c>
      <c r="BE5" s="11">
        <v>272</v>
      </c>
      <c r="BF5" s="28">
        <v>48</v>
      </c>
      <c r="BG5" s="1">
        <v>48</v>
      </c>
      <c r="BH5" s="1">
        <v>48</v>
      </c>
      <c r="BI5" s="1">
        <v>48</v>
      </c>
      <c r="BJ5" s="1">
        <v>48</v>
      </c>
      <c r="BK5" s="1">
        <v>48</v>
      </c>
      <c r="BL5" s="28">
        <v>51</v>
      </c>
      <c r="BM5" s="1">
        <v>51</v>
      </c>
      <c r="BN5" s="1">
        <v>51</v>
      </c>
      <c r="BO5" s="1">
        <v>51</v>
      </c>
      <c r="BP5" s="1">
        <v>51</v>
      </c>
      <c r="BQ5" s="1">
        <v>51</v>
      </c>
    </row>
    <row r="6" spans="2:69" x14ac:dyDescent="0.35">
      <c r="B6" s="3" t="s">
        <v>6</v>
      </c>
      <c r="D6" s="28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  <c r="N6" s="1">
        <v>11</v>
      </c>
      <c r="O6" s="1">
        <v>12</v>
      </c>
      <c r="P6" s="1">
        <v>13</v>
      </c>
      <c r="Q6" s="1">
        <v>14</v>
      </c>
      <c r="R6" s="1">
        <v>15</v>
      </c>
      <c r="S6" s="11">
        <v>16</v>
      </c>
      <c r="T6" s="28">
        <v>1</v>
      </c>
      <c r="U6" s="1">
        <v>2</v>
      </c>
      <c r="V6" s="1">
        <v>3</v>
      </c>
      <c r="W6" s="1">
        <v>4</v>
      </c>
      <c r="X6" s="1">
        <v>5</v>
      </c>
      <c r="Y6" s="1">
        <v>6</v>
      </c>
      <c r="Z6" s="28">
        <v>1</v>
      </c>
      <c r="AA6" s="1">
        <v>2</v>
      </c>
      <c r="AB6" s="1">
        <v>3</v>
      </c>
      <c r="AC6" s="1">
        <v>4</v>
      </c>
      <c r="AD6" s="1">
        <v>5</v>
      </c>
      <c r="AE6" s="1">
        <v>6</v>
      </c>
      <c r="AF6" s="28">
        <v>1</v>
      </c>
      <c r="AG6" s="1">
        <v>2</v>
      </c>
      <c r="AH6" s="11">
        <v>3</v>
      </c>
      <c r="AI6" s="28">
        <v>1</v>
      </c>
      <c r="AJ6" s="1">
        <v>2</v>
      </c>
      <c r="AK6" s="1">
        <v>3</v>
      </c>
      <c r="AL6" s="1">
        <v>4</v>
      </c>
      <c r="AM6" s="1">
        <v>5</v>
      </c>
      <c r="AN6" s="1">
        <v>6</v>
      </c>
      <c r="AO6" s="11">
        <v>7</v>
      </c>
      <c r="AP6" s="28">
        <v>1</v>
      </c>
      <c r="AQ6" s="1">
        <v>2</v>
      </c>
      <c r="AR6" s="1">
        <v>3</v>
      </c>
      <c r="AS6" s="1">
        <v>4</v>
      </c>
      <c r="AT6" s="1">
        <v>5</v>
      </c>
      <c r="AU6" s="1">
        <v>6</v>
      </c>
      <c r="AV6" s="1">
        <v>7</v>
      </c>
      <c r="AW6" s="1">
        <v>8</v>
      </c>
      <c r="AX6" s="1">
        <v>9</v>
      </c>
      <c r="AY6" s="1">
        <v>10</v>
      </c>
      <c r="AZ6" s="1">
        <v>11</v>
      </c>
      <c r="BA6" s="1">
        <v>12</v>
      </c>
      <c r="BB6" s="1">
        <v>13</v>
      </c>
      <c r="BC6" s="1">
        <v>14</v>
      </c>
      <c r="BD6" s="1">
        <v>15</v>
      </c>
      <c r="BE6" s="11">
        <v>16</v>
      </c>
      <c r="BF6" s="28">
        <v>1</v>
      </c>
      <c r="BG6" s="1">
        <v>2</v>
      </c>
      <c r="BH6" s="1">
        <v>3</v>
      </c>
      <c r="BI6" s="1">
        <v>4</v>
      </c>
      <c r="BJ6" s="1">
        <v>5</v>
      </c>
      <c r="BK6" s="1">
        <v>6</v>
      </c>
      <c r="BL6" s="28">
        <v>1</v>
      </c>
      <c r="BM6" s="1">
        <v>2</v>
      </c>
      <c r="BN6" s="1">
        <v>3</v>
      </c>
      <c r="BO6" s="1">
        <v>4</v>
      </c>
      <c r="BP6" s="1">
        <v>5</v>
      </c>
      <c r="BQ6" s="1">
        <v>6</v>
      </c>
    </row>
    <row r="7" spans="2:69" x14ac:dyDescent="0.35">
      <c r="B7" s="3" t="s">
        <v>7</v>
      </c>
      <c r="D7" s="27">
        <f>D11/D5</f>
        <v>6.25E-2</v>
      </c>
      <c r="E7" s="14">
        <f t="shared" ref="E7:S7" si="0">E11/E5</f>
        <v>6.25E-2</v>
      </c>
      <c r="F7" s="14">
        <f t="shared" si="0"/>
        <v>6.25E-2</v>
      </c>
      <c r="G7" s="14">
        <f t="shared" si="0"/>
        <v>6.25E-2</v>
      </c>
      <c r="H7" s="14">
        <f t="shared" si="0"/>
        <v>6.25E-2</v>
      </c>
      <c r="I7" s="14">
        <f t="shared" si="0"/>
        <v>6.25E-2</v>
      </c>
      <c r="J7" s="14">
        <f t="shared" si="0"/>
        <v>6.25E-2</v>
      </c>
      <c r="K7" s="14">
        <f t="shared" si="0"/>
        <v>6.25E-2</v>
      </c>
      <c r="L7" s="14">
        <f t="shared" si="0"/>
        <v>6.25E-2</v>
      </c>
      <c r="M7" s="14">
        <f t="shared" si="0"/>
        <v>6.25E-2</v>
      </c>
      <c r="N7" s="14">
        <f t="shared" si="0"/>
        <v>6.25E-2</v>
      </c>
      <c r="O7" s="14">
        <f t="shared" si="0"/>
        <v>6.25E-2</v>
      </c>
      <c r="P7" s="14">
        <f t="shared" si="0"/>
        <v>6.25E-2</v>
      </c>
      <c r="Q7" s="14">
        <f t="shared" si="0"/>
        <v>6.25E-2</v>
      </c>
      <c r="R7" s="14">
        <f t="shared" si="0"/>
        <v>6.25E-2</v>
      </c>
      <c r="S7" s="15">
        <f t="shared" si="0"/>
        <v>6.25E-2</v>
      </c>
      <c r="T7" s="27">
        <f>T11/T5</f>
        <v>0.16544117647058823</v>
      </c>
      <c r="U7" s="14">
        <f t="shared" ref="U7:Y7" si="1">U11/U5</f>
        <v>0.16544117647058823</v>
      </c>
      <c r="V7" s="14">
        <f t="shared" si="1"/>
        <v>0.16544117647058823</v>
      </c>
      <c r="W7" s="14">
        <f t="shared" si="1"/>
        <v>0.16544117647058823</v>
      </c>
      <c r="X7" s="14">
        <f t="shared" si="1"/>
        <v>0.16544117647058823</v>
      </c>
      <c r="Y7" s="14">
        <f t="shared" si="1"/>
        <v>0.16544117647058823</v>
      </c>
      <c r="Z7" s="27">
        <f>Z11/Z5</f>
        <v>8.0882352941176475E-2</v>
      </c>
      <c r="AA7" s="14">
        <f t="shared" ref="AA7:AE7" si="2">AA11/AA5</f>
        <v>8.0882352941176475E-2</v>
      </c>
      <c r="AB7" s="14">
        <f t="shared" si="2"/>
        <v>8.0882352941176475E-2</v>
      </c>
      <c r="AC7" s="14">
        <f t="shared" si="2"/>
        <v>8.0882352941176475E-2</v>
      </c>
      <c r="AD7" s="14">
        <f t="shared" si="2"/>
        <v>8.0882352941176475E-2</v>
      </c>
      <c r="AE7" s="14">
        <f t="shared" si="2"/>
        <v>8.0882352941176475E-2</v>
      </c>
      <c r="AF7" s="27">
        <v>0.33</v>
      </c>
      <c r="AG7" s="14">
        <v>0.42</v>
      </c>
      <c r="AH7" s="15">
        <v>0.25</v>
      </c>
      <c r="AI7" s="27">
        <v>0.17</v>
      </c>
      <c r="AJ7" s="14">
        <v>0.17</v>
      </c>
      <c r="AK7" s="14">
        <v>0.08</v>
      </c>
      <c r="AL7" s="14">
        <v>0.08</v>
      </c>
      <c r="AM7" s="14">
        <v>0.08</v>
      </c>
      <c r="AN7" s="14">
        <v>0.16</v>
      </c>
      <c r="AO7" s="15">
        <v>0.25</v>
      </c>
      <c r="AP7" s="27">
        <f>AP11/AP5</f>
        <v>2.9411764705882353E-2</v>
      </c>
      <c r="AQ7" s="14">
        <f t="shared" ref="AQ7:BE7" si="3">AQ11/AQ5</f>
        <v>2.9411764705882353E-2</v>
      </c>
      <c r="AR7" s="14">
        <f t="shared" si="3"/>
        <v>2.9411764705882353E-2</v>
      </c>
      <c r="AS7" s="14">
        <f t="shared" si="3"/>
        <v>2.9411764705882353E-2</v>
      </c>
      <c r="AT7" s="14">
        <f t="shared" si="3"/>
        <v>2.9411764705882353E-2</v>
      </c>
      <c r="AU7" s="14">
        <f t="shared" si="3"/>
        <v>2.9411764705882353E-2</v>
      </c>
      <c r="AV7" s="14">
        <f t="shared" si="3"/>
        <v>2.9411764705882353E-2</v>
      </c>
      <c r="AW7" s="14">
        <f t="shared" si="3"/>
        <v>2.9411764705882353E-2</v>
      </c>
      <c r="AX7" s="14">
        <f t="shared" si="3"/>
        <v>2.9411764705882353E-2</v>
      </c>
      <c r="AY7" s="14">
        <f t="shared" si="3"/>
        <v>2.9411764705882353E-2</v>
      </c>
      <c r="AZ7" s="14">
        <f t="shared" si="3"/>
        <v>2.9411764705882353E-2</v>
      </c>
      <c r="BA7" s="14">
        <f t="shared" si="3"/>
        <v>2.9411764705882353E-2</v>
      </c>
      <c r="BB7" s="14">
        <f t="shared" si="3"/>
        <v>2.9411764705882353E-2</v>
      </c>
      <c r="BC7" s="14">
        <f t="shared" si="3"/>
        <v>2.9411764705882353E-2</v>
      </c>
      <c r="BD7" s="14">
        <f t="shared" si="3"/>
        <v>2.9411764705882353E-2</v>
      </c>
      <c r="BE7" s="15">
        <f t="shared" si="3"/>
        <v>2.9411764705882353E-2</v>
      </c>
      <c r="BF7" s="27">
        <f>BF11/BF5</f>
        <v>0.16666666666666666</v>
      </c>
      <c r="BG7" s="14">
        <f t="shared" ref="BG7:BK7" si="4">BG11/BG5</f>
        <v>0.16666666666666666</v>
      </c>
      <c r="BH7" s="14">
        <f t="shared" si="4"/>
        <v>0.16666666666666666</v>
      </c>
      <c r="BI7" s="14">
        <f t="shared" si="4"/>
        <v>0.16666666666666666</v>
      </c>
      <c r="BJ7" s="14">
        <f t="shared" si="4"/>
        <v>0.16666666666666666</v>
      </c>
      <c r="BK7" s="14">
        <f t="shared" si="4"/>
        <v>0.16666666666666666</v>
      </c>
      <c r="BL7" s="27">
        <f>BL11/BL5</f>
        <v>7.8431372549019607E-2</v>
      </c>
      <c r="BM7" s="14">
        <f t="shared" ref="BM7:BQ7" si="5">BM11/BM5</f>
        <v>7.8431372549019607E-2</v>
      </c>
      <c r="BN7" s="14">
        <f t="shared" si="5"/>
        <v>7.8431372549019607E-2</v>
      </c>
      <c r="BO7" s="14">
        <f t="shared" si="5"/>
        <v>7.8431372549019607E-2</v>
      </c>
      <c r="BP7" s="14">
        <f t="shared" si="5"/>
        <v>7.8431372549019607E-2</v>
      </c>
      <c r="BQ7" s="14">
        <f t="shared" si="5"/>
        <v>7.8431372549019607E-2</v>
      </c>
    </row>
    <row r="8" spans="2:69" x14ac:dyDescent="0.35">
      <c r="B8" s="4" t="s">
        <v>8</v>
      </c>
      <c r="D8" s="28">
        <v>1</v>
      </c>
      <c r="E8" s="1">
        <v>1</v>
      </c>
      <c r="F8" s="1">
        <v>1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1">
        <v>1</v>
      </c>
      <c r="Q8" s="1">
        <v>1</v>
      </c>
      <c r="R8" s="1">
        <v>1</v>
      </c>
      <c r="S8" s="11">
        <v>1</v>
      </c>
      <c r="T8" s="28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28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28">
        <v>1</v>
      </c>
      <c r="AG8" s="1">
        <v>1</v>
      </c>
      <c r="AH8" s="11">
        <v>1</v>
      </c>
      <c r="AI8" s="28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1">
        <v>1</v>
      </c>
      <c r="AP8" s="28">
        <v>1</v>
      </c>
      <c r="AQ8" s="1">
        <v>1</v>
      </c>
      <c r="AR8" s="1">
        <v>1</v>
      </c>
      <c r="AS8" s="1">
        <v>1</v>
      </c>
      <c r="AT8" s="1">
        <v>1</v>
      </c>
      <c r="AU8" s="1">
        <v>1</v>
      </c>
      <c r="AV8" s="1">
        <v>1</v>
      </c>
      <c r="AW8" s="1">
        <v>1</v>
      </c>
      <c r="AX8" s="1">
        <v>1</v>
      </c>
      <c r="AY8" s="1">
        <v>1</v>
      </c>
      <c r="AZ8" s="1">
        <v>1</v>
      </c>
      <c r="BA8" s="1">
        <v>1</v>
      </c>
      <c r="BB8" s="1">
        <v>1</v>
      </c>
      <c r="BC8" s="1">
        <v>1</v>
      </c>
      <c r="BD8" s="1">
        <v>1</v>
      </c>
      <c r="BE8" s="11">
        <v>1</v>
      </c>
      <c r="BF8" s="28">
        <v>1</v>
      </c>
      <c r="BG8" s="1">
        <v>1</v>
      </c>
      <c r="BH8" s="1">
        <v>1</v>
      </c>
      <c r="BI8" s="1">
        <v>1</v>
      </c>
      <c r="BJ8" s="1">
        <v>1</v>
      </c>
      <c r="BK8" s="1">
        <v>1</v>
      </c>
      <c r="BL8" s="28">
        <v>1</v>
      </c>
      <c r="BM8" s="1">
        <v>1</v>
      </c>
      <c r="BN8" s="1">
        <v>1</v>
      </c>
      <c r="BO8" s="1">
        <v>1</v>
      </c>
      <c r="BP8" s="1">
        <v>1</v>
      </c>
      <c r="BQ8" s="1">
        <v>1</v>
      </c>
    </row>
    <row r="9" spans="2:69" x14ac:dyDescent="0.35">
      <c r="B9" s="4" t="s">
        <v>9</v>
      </c>
      <c r="D9" s="28">
        <v>4</v>
      </c>
      <c r="E9" s="1">
        <v>4</v>
      </c>
      <c r="F9" s="1">
        <v>4</v>
      </c>
      <c r="G9" s="1">
        <v>4</v>
      </c>
      <c r="H9" s="1">
        <v>4</v>
      </c>
      <c r="I9" s="1">
        <v>4</v>
      </c>
      <c r="J9" s="1">
        <v>4</v>
      </c>
      <c r="K9" s="1">
        <v>4</v>
      </c>
      <c r="L9" s="1">
        <v>4</v>
      </c>
      <c r="M9" s="1">
        <v>4</v>
      </c>
      <c r="N9" s="1">
        <v>4</v>
      </c>
      <c r="O9" s="1">
        <v>4</v>
      </c>
      <c r="P9" s="1">
        <v>4</v>
      </c>
      <c r="Q9" s="1">
        <v>4</v>
      </c>
      <c r="R9" s="1">
        <v>4</v>
      </c>
      <c r="S9" s="11">
        <v>4</v>
      </c>
      <c r="T9" s="28">
        <v>4</v>
      </c>
      <c r="U9" s="1">
        <v>4</v>
      </c>
      <c r="V9" s="1">
        <v>4</v>
      </c>
      <c r="W9" s="1">
        <v>4</v>
      </c>
      <c r="X9" s="1">
        <v>4</v>
      </c>
      <c r="Y9" s="1">
        <v>4</v>
      </c>
      <c r="Z9" s="28">
        <v>4</v>
      </c>
      <c r="AA9" s="1">
        <v>4</v>
      </c>
      <c r="AB9" s="1">
        <v>4</v>
      </c>
      <c r="AC9" s="1">
        <v>4</v>
      </c>
      <c r="AD9" s="1">
        <v>4</v>
      </c>
      <c r="AE9" s="1">
        <v>4</v>
      </c>
      <c r="AF9" s="28">
        <v>4</v>
      </c>
      <c r="AG9" s="1">
        <v>4</v>
      </c>
      <c r="AH9" s="11">
        <v>4</v>
      </c>
      <c r="AI9" s="28">
        <v>4</v>
      </c>
      <c r="AJ9" s="1">
        <v>4</v>
      </c>
      <c r="AK9" s="1">
        <v>4</v>
      </c>
      <c r="AL9" s="1">
        <v>4</v>
      </c>
      <c r="AM9" s="1">
        <v>4</v>
      </c>
      <c r="AN9" s="1">
        <v>4</v>
      </c>
      <c r="AO9" s="11">
        <v>4</v>
      </c>
      <c r="AP9" s="28">
        <v>4</v>
      </c>
      <c r="AQ9" s="1">
        <v>4</v>
      </c>
      <c r="AR9" s="1">
        <v>4</v>
      </c>
      <c r="AS9" s="1">
        <v>4</v>
      </c>
      <c r="AT9" s="1">
        <v>4</v>
      </c>
      <c r="AU9" s="1">
        <v>4</v>
      </c>
      <c r="AV9" s="1">
        <v>4</v>
      </c>
      <c r="AW9" s="1">
        <v>4</v>
      </c>
      <c r="AX9" s="1">
        <v>4</v>
      </c>
      <c r="AY9" s="1">
        <v>4</v>
      </c>
      <c r="AZ9" s="1">
        <v>4</v>
      </c>
      <c r="BA9" s="1">
        <v>4</v>
      </c>
      <c r="BB9" s="1">
        <v>4</v>
      </c>
      <c r="BC9" s="1">
        <v>4</v>
      </c>
      <c r="BD9" s="1">
        <v>4</v>
      </c>
      <c r="BE9" s="11">
        <v>4</v>
      </c>
      <c r="BF9" s="28">
        <v>4</v>
      </c>
      <c r="BG9" s="1">
        <v>4</v>
      </c>
      <c r="BH9" s="1">
        <v>4</v>
      </c>
      <c r="BI9" s="1">
        <v>4</v>
      </c>
      <c r="BJ9" s="1">
        <v>4</v>
      </c>
      <c r="BK9" s="1">
        <v>4</v>
      </c>
      <c r="BL9" s="28">
        <v>4</v>
      </c>
      <c r="BM9" s="1">
        <v>4</v>
      </c>
      <c r="BN9" s="1">
        <v>4</v>
      </c>
      <c r="BO9" s="1">
        <v>4</v>
      </c>
      <c r="BP9" s="1">
        <v>4</v>
      </c>
      <c r="BQ9" s="1">
        <v>4</v>
      </c>
    </row>
    <row r="10" spans="2:69" x14ac:dyDescent="0.35">
      <c r="B10" s="4" t="s">
        <v>10</v>
      </c>
      <c r="D10" s="28">
        <v>4</v>
      </c>
      <c r="E10" s="1">
        <v>4</v>
      </c>
      <c r="F10" s="1">
        <v>4</v>
      </c>
      <c r="G10" s="1">
        <v>4</v>
      </c>
      <c r="H10" s="1">
        <v>4</v>
      </c>
      <c r="I10" s="1">
        <v>4</v>
      </c>
      <c r="J10" s="1">
        <v>4</v>
      </c>
      <c r="K10" s="1">
        <v>4</v>
      </c>
      <c r="L10" s="1">
        <v>4</v>
      </c>
      <c r="M10" s="1">
        <v>4</v>
      </c>
      <c r="N10" s="1">
        <v>4</v>
      </c>
      <c r="O10" s="1">
        <v>4</v>
      </c>
      <c r="P10" s="1">
        <v>4</v>
      </c>
      <c r="Q10" s="1">
        <v>4</v>
      </c>
      <c r="R10" s="1">
        <v>4</v>
      </c>
      <c r="S10" s="11">
        <v>4</v>
      </c>
      <c r="T10" s="28">
        <v>4</v>
      </c>
      <c r="U10" s="1">
        <v>4</v>
      </c>
      <c r="V10" s="1">
        <v>4</v>
      </c>
      <c r="W10" s="1">
        <v>4</v>
      </c>
      <c r="X10" s="1">
        <v>4</v>
      </c>
      <c r="Y10" s="1">
        <v>4</v>
      </c>
      <c r="Z10" s="28">
        <v>4</v>
      </c>
      <c r="AA10" s="1">
        <v>4</v>
      </c>
      <c r="AB10" s="1">
        <v>4</v>
      </c>
      <c r="AC10" s="1">
        <v>4</v>
      </c>
      <c r="AD10" s="1">
        <v>4</v>
      </c>
      <c r="AE10" s="1">
        <v>4</v>
      </c>
      <c r="AF10" s="28">
        <v>4</v>
      </c>
      <c r="AG10" s="1">
        <v>2</v>
      </c>
      <c r="AH10" s="11">
        <v>1</v>
      </c>
      <c r="AI10" s="28">
        <v>4</v>
      </c>
      <c r="AJ10" s="1">
        <v>4</v>
      </c>
      <c r="AK10" s="1">
        <v>2</v>
      </c>
      <c r="AL10" s="1">
        <v>2</v>
      </c>
      <c r="AM10" s="1">
        <v>2</v>
      </c>
      <c r="AN10" s="1">
        <v>2</v>
      </c>
      <c r="AO10" s="11">
        <v>1</v>
      </c>
      <c r="AP10" s="1">
        <v>4</v>
      </c>
      <c r="AQ10" s="1">
        <v>4</v>
      </c>
      <c r="AR10" s="1">
        <v>4</v>
      </c>
      <c r="AS10" s="1">
        <v>4</v>
      </c>
      <c r="AT10" s="1">
        <v>4</v>
      </c>
      <c r="AU10" s="1">
        <v>4</v>
      </c>
      <c r="AV10" s="1">
        <v>4</v>
      </c>
      <c r="AW10" s="1">
        <v>4</v>
      </c>
      <c r="AX10" s="1">
        <v>4</v>
      </c>
      <c r="AY10" s="1">
        <v>4</v>
      </c>
      <c r="AZ10" s="1">
        <v>4</v>
      </c>
      <c r="BA10" s="1">
        <v>4</v>
      </c>
      <c r="BB10" s="1">
        <v>4</v>
      </c>
      <c r="BC10" s="1">
        <v>4</v>
      </c>
      <c r="BD10" s="1">
        <v>4</v>
      </c>
      <c r="BE10" s="11">
        <v>4</v>
      </c>
      <c r="BF10" s="28">
        <v>4</v>
      </c>
      <c r="BG10" s="1">
        <v>4</v>
      </c>
      <c r="BH10" s="1">
        <v>4</v>
      </c>
      <c r="BI10" s="1">
        <v>4</v>
      </c>
      <c r="BJ10" s="1">
        <v>4</v>
      </c>
      <c r="BK10" s="1">
        <v>4</v>
      </c>
      <c r="BL10" s="28">
        <v>4</v>
      </c>
      <c r="BM10" s="1">
        <v>4</v>
      </c>
      <c r="BN10" s="1">
        <v>4</v>
      </c>
      <c r="BO10" s="1">
        <v>4</v>
      </c>
      <c r="BP10" s="1">
        <v>4</v>
      </c>
      <c r="BQ10" s="1">
        <v>4</v>
      </c>
    </row>
    <row r="11" spans="2:69" x14ac:dyDescent="0.35">
      <c r="B11" s="3" t="s">
        <v>11</v>
      </c>
      <c r="D11" s="28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1">
        <v>17</v>
      </c>
      <c r="K11" s="1">
        <v>17</v>
      </c>
      <c r="L11" s="1">
        <v>17</v>
      </c>
      <c r="M11" s="1">
        <v>17</v>
      </c>
      <c r="N11" s="1">
        <v>17</v>
      </c>
      <c r="O11" s="1">
        <v>17</v>
      </c>
      <c r="P11" s="1">
        <v>17</v>
      </c>
      <c r="Q11" s="1">
        <v>17</v>
      </c>
      <c r="R11" s="1">
        <v>17</v>
      </c>
      <c r="S11" s="1">
        <v>17</v>
      </c>
      <c r="T11" s="28">
        <v>45</v>
      </c>
      <c r="U11" s="1">
        <v>45</v>
      </c>
      <c r="V11" s="1">
        <v>45</v>
      </c>
      <c r="W11" s="1">
        <v>45</v>
      </c>
      <c r="X11" s="1">
        <v>45</v>
      </c>
      <c r="Y11" s="1">
        <v>45</v>
      </c>
      <c r="Z11" s="28">
        <v>22</v>
      </c>
      <c r="AA11" s="1">
        <v>22</v>
      </c>
      <c r="AB11" s="1">
        <v>22</v>
      </c>
      <c r="AC11" s="1">
        <v>22</v>
      </c>
      <c r="AD11" s="1">
        <v>22</v>
      </c>
      <c r="AE11" s="1">
        <v>22</v>
      </c>
      <c r="AF11" s="28">
        <v>32</v>
      </c>
      <c r="AG11" s="1">
        <v>40</v>
      </c>
      <c r="AH11" s="11">
        <v>24</v>
      </c>
      <c r="AI11" s="28">
        <v>16</v>
      </c>
      <c r="AJ11" s="1">
        <v>16</v>
      </c>
      <c r="AK11" s="1">
        <v>8</v>
      </c>
      <c r="AL11" s="1">
        <v>8</v>
      </c>
      <c r="AM11" s="1">
        <v>8</v>
      </c>
      <c r="AN11" s="1">
        <v>16</v>
      </c>
      <c r="AO11" s="11">
        <f t="shared" ref="AO11" si="6">ROUND(AO5*AO7,0)</f>
        <v>24</v>
      </c>
      <c r="AP11" s="1">
        <v>8</v>
      </c>
      <c r="AQ11" s="1">
        <v>8</v>
      </c>
      <c r="AR11" s="1">
        <v>8</v>
      </c>
      <c r="AS11" s="1">
        <v>8</v>
      </c>
      <c r="AT11" s="1">
        <v>8</v>
      </c>
      <c r="AU11" s="1">
        <v>8</v>
      </c>
      <c r="AV11" s="1">
        <v>8</v>
      </c>
      <c r="AW11" s="1">
        <v>8</v>
      </c>
      <c r="AX11" s="1">
        <v>8</v>
      </c>
      <c r="AY11" s="1">
        <v>8</v>
      </c>
      <c r="AZ11" s="1">
        <v>8</v>
      </c>
      <c r="BA11" s="1">
        <v>8</v>
      </c>
      <c r="BB11" s="1">
        <v>8</v>
      </c>
      <c r="BC11" s="1">
        <v>8</v>
      </c>
      <c r="BD11" s="1">
        <v>8</v>
      </c>
      <c r="BE11" s="11">
        <v>8</v>
      </c>
      <c r="BF11" s="28">
        <v>8</v>
      </c>
      <c r="BG11" s="1">
        <v>8</v>
      </c>
      <c r="BH11" s="1">
        <v>8</v>
      </c>
      <c r="BI11" s="1">
        <v>8</v>
      </c>
      <c r="BJ11" s="1">
        <v>8</v>
      </c>
      <c r="BK11" s="1">
        <v>8</v>
      </c>
      <c r="BL11" s="28">
        <v>4</v>
      </c>
      <c r="BM11" s="1">
        <v>4</v>
      </c>
      <c r="BN11" s="1">
        <v>4</v>
      </c>
      <c r="BO11" s="1">
        <v>4</v>
      </c>
      <c r="BP11" s="1">
        <v>4</v>
      </c>
      <c r="BQ11" s="1">
        <v>4</v>
      </c>
    </row>
    <row r="12" spans="2:69" x14ac:dyDescent="0.35">
      <c r="B12" s="3" t="s">
        <v>12</v>
      </c>
      <c r="D12" s="28">
        <v>13</v>
      </c>
      <c r="E12" s="1">
        <v>13</v>
      </c>
      <c r="F12" s="1">
        <v>13</v>
      </c>
      <c r="G12" s="1">
        <v>13</v>
      </c>
      <c r="H12" s="1">
        <v>13</v>
      </c>
      <c r="I12" s="1">
        <v>13</v>
      </c>
      <c r="J12" s="1">
        <v>13</v>
      </c>
      <c r="K12" s="1">
        <v>13</v>
      </c>
      <c r="L12" s="1">
        <v>13</v>
      </c>
      <c r="M12" s="1">
        <v>13</v>
      </c>
      <c r="N12" s="1">
        <v>13</v>
      </c>
      <c r="O12" s="1">
        <v>13</v>
      </c>
      <c r="P12" s="1">
        <v>13</v>
      </c>
      <c r="Q12" s="1">
        <v>13</v>
      </c>
      <c r="R12" s="1">
        <v>13</v>
      </c>
      <c r="S12" s="1">
        <v>13</v>
      </c>
      <c r="T12" s="28">
        <v>13</v>
      </c>
      <c r="U12" s="1">
        <v>13</v>
      </c>
      <c r="V12" s="1">
        <v>13</v>
      </c>
      <c r="W12" s="1">
        <v>13</v>
      </c>
      <c r="X12" s="1">
        <v>13</v>
      </c>
      <c r="Y12" s="1">
        <v>13</v>
      </c>
      <c r="Z12" s="28">
        <v>13</v>
      </c>
      <c r="AA12" s="1">
        <v>13</v>
      </c>
      <c r="AB12" s="1">
        <v>13</v>
      </c>
      <c r="AC12" s="1">
        <v>13</v>
      </c>
      <c r="AD12" s="1">
        <v>13</v>
      </c>
      <c r="AE12" s="1">
        <v>13</v>
      </c>
      <c r="AF12" s="28">
        <v>13</v>
      </c>
      <c r="AG12" s="1">
        <v>13</v>
      </c>
      <c r="AH12" s="11">
        <v>13</v>
      </c>
      <c r="AI12" s="28">
        <v>13</v>
      </c>
      <c r="AJ12" s="1">
        <v>13</v>
      </c>
      <c r="AK12" s="1">
        <v>13</v>
      </c>
      <c r="AL12" s="1">
        <v>13</v>
      </c>
      <c r="AM12" s="1">
        <v>13</v>
      </c>
      <c r="AN12" s="1">
        <v>13</v>
      </c>
      <c r="AO12" s="11">
        <v>13</v>
      </c>
      <c r="AP12" s="1">
        <v>13</v>
      </c>
      <c r="AQ12" s="1">
        <v>13</v>
      </c>
      <c r="AR12" s="1">
        <v>13</v>
      </c>
      <c r="AS12" s="1">
        <v>13</v>
      </c>
      <c r="AT12" s="1">
        <v>13</v>
      </c>
      <c r="AU12" s="1">
        <v>13</v>
      </c>
      <c r="AV12" s="1">
        <v>13</v>
      </c>
      <c r="AW12" s="1">
        <v>13</v>
      </c>
      <c r="AX12" s="1">
        <v>13</v>
      </c>
      <c r="AY12" s="1">
        <v>13</v>
      </c>
      <c r="AZ12" s="1">
        <v>13</v>
      </c>
      <c r="BA12" s="1">
        <v>13</v>
      </c>
      <c r="BB12" s="1">
        <v>13</v>
      </c>
      <c r="BC12" s="1">
        <v>13</v>
      </c>
      <c r="BD12" s="1">
        <v>13</v>
      </c>
      <c r="BE12" s="11">
        <v>13</v>
      </c>
      <c r="BF12" s="28">
        <v>13</v>
      </c>
      <c r="BG12" s="1">
        <v>13</v>
      </c>
      <c r="BH12" s="1">
        <v>13</v>
      </c>
      <c r="BI12" s="1">
        <v>13</v>
      </c>
      <c r="BJ12" s="1">
        <v>13</v>
      </c>
      <c r="BK12" s="1">
        <v>13</v>
      </c>
      <c r="BL12" s="28">
        <v>13</v>
      </c>
      <c r="BM12" s="1">
        <v>13</v>
      </c>
      <c r="BN12" s="1">
        <v>13</v>
      </c>
      <c r="BO12" s="1">
        <v>13</v>
      </c>
      <c r="BP12" s="1">
        <v>13</v>
      </c>
      <c r="BQ12" s="1">
        <v>13</v>
      </c>
    </row>
    <row r="13" spans="2:69" x14ac:dyDescent="0.35">
      <c r="B13" s="3" t="s">
        <v>13</v>
      </c>
      <c r="C13" s="1"/>
      <c r="D13" s="28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1">
        <v>1</v>
      </c>
      <c r="T13" s="28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28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28">
        <v>1</v>
      </c>
      <c r="AG13" s="1">
        <v>1</v>
      </c>
      <c r="AH13" s="11">
        <v>1</v>
      </c>
      <c r="AI13" s="28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1">
        <v>1</v>
      </c>
      <c r="BC13" s="1">
        <v>1</v>
      </c>
      <c r="BD13" s="1">
        <v>1</v>
      </c>
      <c r="BE13" s="11">
        <v>1</v>
      </c>
      <c r="BF13" s="28">
        <v>1</v>
      </c>
      <c r="BG13" s="1">
        <v>1</v>
      </c>
      <c r="BH13" s="1">
        <v>1</v>
      </c>
      <c r="BI13" s="1">
        <v>1</v>
      </c>
      <c r="BJ13" s="1">
        <v>1</v>
      </c>
      <c r="BK13" s="1">
        <v>1</v>
      </c>
      <c r="BL13" s="28">
        <v>1</v>
      </c>
      <c r="BM13" s="1">
        <v>1</v>
      </c>
      <c r="BN13" s="1">
        <v>1</v>
      </c>
      <c r="BO13" s="1">
        <v>1</v>
      </c>
      <c r="BP13" s="1">
        <v>1</v>
      </c>
      <c r="BQ13" s="1">
        <v>1</v>
      </c>
    </row>
    <row r="14" spans="2:69" x14ac:dyDescent="0.35">
      <c r="B14" s="5" t="s">
        <v>14</v>
      </c>
      <c r="C14" s="1"/>
      <c r="D14" s="28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1">
        <v>1</v>
      </c>
      <c r="T14" s="28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28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28">
        <v>1</v>
      </c>
      <c r="AG14" s="1">
        <v>1</v>
      </c>
      <c r="AH14" s="11">
        <v>1</v>
      </c>
      <c r="AI14" s="28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1">
        <v>1</v>
      </c>
      <c r="AP14" s="28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1">
        <v>1</v>
      </c>
      <c r="BC14" s="1">
        <v>1</v>
      </c>
      <c r="BD14" s="1">
        <v>1</v>
      </c>
      <c r="BE14" s="11">
        <v>1</v>
      </c>
      <c r="BF14" s="28">
        <v>1</v>
      </c>
      <c r="BG14" s="1">
        <v>1</v>
      </c>
      <c r="BH14" s="1">
        <v>1</v>
      </c>
      <c r="BI14" s="1">
        <v>1</v>
      </c>
      <c r="BJ14" s="1">
        <v>1</v>
      </c>
      <c r="BK14" s="1">
        <v>1</v>
      </c>
      <c r="BL14" s="28">
        <v>1</v>
      </c>
      <c r="BM14" s="1">
        <v>1</v>
      </c>
      <c r="BN14" s="1">
        <v>1</v>
      </c>
      <c r="BO14" s="1">
        <v>1</v>
      </c>
      <c r="BP14" s="1">
        <v>1</v>
      </c>
      <c r="BQ14" s="1">
        <v>1</v>
      </c>
    </row>
    <row r="15" spans="2:69" x14ac:dyDescent="0.35">
      <c r="B15" s="5" t="s">
        <v>15</v>
      </c>
      <c r="D15" s="28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1">
        <v>0</v>
      </c>
      <c r="T15" s="28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28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28">
        <v>0</v>
      </c>
      <c r="AG15" s="1">
        <v>0</v>
      </c>
      <c r="AH15" s="11">
        <v>0</v>
      </c>
      <c r="AI15" s="28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1">
        <v>0</v>
      </c>
      <c r="AP15" s="28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1">
        <v>0</v>
      </c>
      <c r="BF15" s="28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28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</row>
    <row r="16" spans="2:69" x14ac:dyDescent="0.35">
      <c r="B16" s="3" t="s">
        <v>16</v>
      </c>
      <c r="D16" s="28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2</v>
      </c>
      <c r="Q16" s="1">
        <v>2</v>
      </c>
      <c r="R16" s="1">
        <v>2</v>
      </c>
      <c r="S16" s="11">
        <v>2</v>
      </c>
      <c r="T16" s="28">
        <v>2</v>
      </c>
      <c r="U16" s="1">
        <v>2</v>
      </c>
      <c r="V16" s="1">
        <v>2</v>
      </c>
      <c r="W16" s="1">
        <v>2</v>
      </c>
      <c r="X16" s="1">
        <v>2</v>
      </c>
      <c r="Y16" s="1">
        <v>2</v>
      </c>
      <c r="Z16" s="28">
        <v>2</v>
      </c>
      <c r="AA16" s="1">
        <v>2</v>
      </c>
      <c r="AB16" s="1">
        <v>2</v>
      </c>
      <c r="AC16" s="1">
        <v>2</v>
      </c>
      <c r="AD16" s="1">
        <v>2</v>
      </c>
      <c r="AE16" s="1">
        <v>2</v>
      </c>
      <c r="AF16" s="28">
        <v>2</v>
      </c>
      <c r="AG16" s="1">
        <v>2</v>
      </c>
      <c r="AH16" s="11">
        <v>2</v>
      </c>
      <c r="AI16" s="28">
        <v>2</v>
      </c>
      <c r="AJ16" s="1">
        <v>2</v>
      </c>
      <c r="AK16" s="1">
        <v>2</v>
      </c>
      <c r="AL16" s="1">
        <v>2</v>
      </c>
      <c r="AM16" s="1">
        <v>2</v>
      </c>
      <c r="AN16" s="1">
        <v>2</v>
      </c>
      <c r="AO16" s="11">
        <v>2</v>
      </c>
      <c r="AP16" s="28">
        <v>2</v>
      </c>
      <c r="AQ16" s="1">
        <v>2</v>
      </c>
      <c r="AR16" s="1">
        <v>2</v>
      </c>
      <c r="AS16" s="1">
        <v>2</v>
      </c>
      <c r="AT16" s="1">
        <v>2</v>
      </c>
      <c r="AU16" s="1">
        <v>2</v>
      </c>
      <c r="AV16" s="1">
        <v>2</v>
      </c>
      <c r="AW16" s="1">
        <v>2</v>
      </c>
      <c r="AX16" s="1">
        <v>2</v>
      </c>
      <c r="AY16" s="1">
        <v>2</v>
      </c>
      <c r="AZ16" s="1">
        <v>2</v>
      </c>
      <c r="BA16" s="1">
        <v>2</v>
      </c>
      <c r="BB16" s="1">
        <v>2</v>
      </c>
      <c r="BC16" s="1">
        <v>2</v>
      </c>
      <c r="BD16" s="1">
        <v>2</v>
      </c>
      <c r="BE16" s="11">
        <v>2</v>
      </c>
      <c r="BF16" s="28">
        <v>2</v>
      </c>
      <c r="BG16" s="1">
        <v>2</v>
      </c>
      <c r="BH16" s="1">
        <v>2</v>
      </c>
      <c r="BI16" s="1">
        <v>2</v>
      </c>
      <c r="BJ16" s="1">
        <v>2</v>
      </c>
      <c r="BK16" s="1">
        <v>2</v>
      </c>
      <c r="BL16" s="28">
        <v>2</v>
      </c>
      <c r="BM16" s="1">
        <v>2</v>
      </c>
      <c r="BN16" s="1">
        <v>2</v>
      </c>
      <c r="BO16" s="1">
        <v>2</v>
      </c>
      <c r="BP16" s="1">
        <v>2</v>
      </c>
      <c r="BQ16" s="1">
        <v>2</v>
      </c>
    </row>
    <row r="17" spans="2:69" x14ac:dyDescent="0.35">
      <c r="B17" s="3" t="s">
        <v>17</v>
      </c>
      <c r="D17" s="28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1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1">
        <v>27</v>
      </c>
      <c r="Q17" s="1">
        <v>27</v>
      </c>
      <c r="R17" s="1">
        <v>27</v>
      </c>
      <c r="S17" s="11">
        <v>27</v>
      </c>
      <c r="T17" s="28">
        <v>27</v>
      </c>
      <c r="U17" s="1">
        <v>27</v>
      </c>
      <c r="V17" s="1">
        <v>27</v>
      </c>
      <c r="W17" s="1">
        <v>27</v>
      </c>
      <c r="X17" s="1">
        <v>27</v>
      </c>
      <c r="Y17" s="1">
        <v>27</v>
      </c>
      <c r="Z17" s="28">
        <v>27</v>
      </c>
      <c r="AA17" s="1">
        <v>27</v>
      </c>
      <c r="AB17" s="1">
        <v>27</v>
      </c>
      <c r="AC17" s="1">
        <v>27</v>
      </c>
      <c r="AD17" s="1">
        <v>27</v>
      </c>
      <c r="AE17" s="1">
        <v>27</v>
      </c>
      <c r="AF17" s="28">
        <v>24</v>
      </c>
      <c r="AG17" s="1">
        <v>13</v>
      </c>
      <c r="AH17" s="11">
        <v>7</v>
      </c>
      <c r="AI17" s="28">
        <v>24</v>
      </c>
      <c r="AJ17" s="1">
        <v>24</v>
      </c>
      <c r="AK17" s="1">
        <v>13</v>
      </c>
      <c r="AL17" s="1">
        <v>13</v>
      </c>
      <c r="AM17" s="1">
        <v>13</v>
      </c>
      <c r="AN17" s="1">
        <v>13</v>
      </c>
      <c r="AO17" s="11">
        <v>7</v>
      </c>
      <c r="AP17" s="28">
        <v>27</v>
      </c>
      <c r="AQ17" s="1">
        <v>27</v>
      </c>
      <c r="AR17" s="1">
        <v>27</v>
      </c>
      <c r="AS17" s="1">
        <v>27</v>
      </c>
      <c r="AT17" s="1">
        <v>27</v>
      </c>
      <c r="AU17" s="1">
        <v>27</v>
      </c>
      <c r="AV17" s="1">
        <v>27</v>
      </c>
      <c r="AW17" s="1">
        <v>27</v>
      </c>
      <c r="AX17" s="1">
        <v>27</v>
      </c>
      <c r="AY17" s="1">
        <v>27</v>
      </c>
      <c r="AZ17" s="1">
        <v>27</v>
      </c>
      <c r="BA17" s="1">
        <v>27</v>
      </c>
      <c r="BB17" s="1">
        <v>27</v>
      </c>
      <c r="BC17" s="1">
        <v>27</v>
      </c>
      <c r="BD17" s="1">
        <v>27</v>
      </c>
      <c r="BE17" s="11">
        <v>27</v>
      </c>
      <c r="BF17" s="28">
        <v>27</v>
      </c>
      <c r="BG17" s="1">
        <v>27</v>
      </c>
      <c r="BH17" s="1">
        <v>27</v>
      </c>
      <c r="BI17" s="1">
        <v>27</v>
      </c>
      <c r="BJ17" s="1">
        <v>27</v>
      </c>
      <c r="BK17" s="1">
        <v>27</v>
      </c>
      <c r="BL17" s="28">
        <v>27</v>
      </c>
      <c r="BM17" s="1">
        <v>27</v>
      </c>
      <c r="BN17" s="1">
        <v>27</v>
      </c>
      <c r="BO17" s="1">
        <v>27</v>
      </c>
      <c r="BP17" s="1">
        <v>27</v>
      </c>
      <c r="BQ17" s="1">
        <v>27</v>
      </c>
    </row>
    <row r="18" spans="2:69" x14ac:dyDescent="0.35">
      <c r="B18" s="3" t="s">
        <v>18</v>
      </c>
      <c r="D18" s="28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1</v>
      </c>
      <c r="Q18" s="1">
        <v>1</v>
      </c>
      <c r="R18" s="1">
        <v>1</v>
      </c>
      <c r="S18" s="11">
        <v>1</v>
      </c>
      <c r="T18" s="28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28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28">
        <v>1</v>
      </c>
      <c r="AG18" s="1">
        <v>1</v>
      </c>
      <c r="AH18" s="11">
        <v>1</v>
      </c>
      <c r="AI18" s="28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1">
        <v>1</v>
      </c>
      <c r="AP18" s="28">
        <v>1</v>
      </c>
      <c r="AQ18" s="1">
        <v>1</v>
      </c>
      <c r="AR18" s="1">
        <v>1</v>
      </c>
      <c r="AS18" s="1">
        <v>1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1">
        <v>1</v>
      </c>
      <c r="BC18" s="1">
        <v>1</v>
      </c>
      <c r="BD18" s="1">
        <v>1</v>
      </c>
      <c r="BE18" s="11">
        <v>1</v>
      </c>
      <c r="BF18" s="28">
        <v>1</v>
      </c>
      <c r="BG18" s="1">
        <v>1</v>
      </c>
      <c r="BH18" s="1">
        <v>1</v>
      </c>
      <c r="BI18" s="1">
        <v>1</v>
      </c>
      <c r="BJ18" s="1">
        <v>1</v>
      </c>
      <c r="BK18" s="1">
        <v>1</v>
      </c>
      <c r="BL18" s="28">
        <v>1</v>
      </c>
      <c r="BM18" s="1">
        <v>1</v>
      </c>
      <c r="BN18" s="1">
        <v>1</v>
      </c>
      <c r="BO18" s="1">
        <v>1</v>
      </c>
      <c r="BP18" s="1">
        <v>1</v>
      </c>
      <c r="BQ18" s="1">
        <v>1</v>
      </c>
    </row>
    <row r="19" spans="2:69" x14ac:dyDescent="0.35">
      <c r="B19" s="3" t="s">
        <v>19</v>
      </c>
      <c r="D19" s="28">
        <v>4</v>
      </c>
      <c r="E19" s="1">
        <v>4</v>
      </c>
      <c r="F19" s="1">
        <v>4</v>
      </c>
      <c r="G19" s="1">
        <v>4</v>
      </c>
      <c r="H19" s="1">
        <v>4</v>
      </c>
      <c r="I19" s="1">
        <v>4</v>
      </c>
      <c r="J19" s="1">
        <v>4</v>
      </c>
      <c r="K19" s="1">
        <v>4</v>
      </c>
      <c r="L19" s="1">
        <v>4</v>
      </c>
      <c r="M19" s="1">
        <v>4</v>
      </c>
      <c r="N19" s="1">
        <v>4</v>
      </c>
      <c r="O19" s="1">
        <v>4</v>
      </c>
      <c r="P19" s="1">
        <v>4</v>
      </c>
      <c r="Q19" s="1">
        <v>4</v>
      </c>
      <c r="R19" s="1">
        <v>4</v>
      </c>
      <c r="S19" s="11">
        <v>4</v>
      </c>
      <c r="T19" s="28">
        <v>4</v>
      </c>
      <c r="U19" s="1">
        <v>4</v>
      </c>
      <c r="V19" s="1">
        <v>4</v>
      </c>
      <c r="W19" s="1">
        <v>4</v>
      </c>
      <c r="X19" s="1">
        <v>4</v>
      </c>
      <c r="Y19" s="1">
        <v>4</v>
      </c>
      <c r="Z19" s="28">
        <v>4</v>
      </c>
      <c r="AA19" s="1">
        <v>4</v>
      </c>
      <c r="AB19" s="1">
        <v>4</v>
      </c>
      <c r="AC19" s="1">
        <v>4</v>
      </c>
      <c r="AD19" s="1">
        <v>4</v>
      </c>
      <c r="AE19" s="1">
        <v>4</v>
      </c>
      <c r="AF19" s="28">
        <v>4</v>
      </c>
      <c r="AG19" s="1">
        <v>2</v>
      </c>
      <c r="AH19" s="11">
        <v>1</v>
      </c>
      <c r="AI19" s="28">
        <v>4</v>
      </c>
      <c r="AJ19" s="1">
        <v>4</v>
      </c>
      <c r="AK19" s="1">
        <v>2</v>
      </c>
      <c r="AL19" s="1">
        <v>2</v>
      </c>
      <c r="AM19" s="1">
        <v>2</v>
      </c>
      <c r="AN19" s="1">
        <v>2</v>
      </c>
      <c r="AO19" s="11">
        <v>1</v>
      </c>
      <c r="AP19" s="28">
        <v>4</v>
      </c>
      <c r="AQ19" s="1">
        <v>4</v>
      </c>
      <c r="AR19" s="1">
        <v>4</v>
      </c>
      <c r="AS19" s="1">
        <v>4</v>
      </c>
      <c r="AT19" s="1">
        <v>4</v>
      </c>
      <c r="AU19" s="1">
        <v>4</v>
      </c>
      <c r="AV19" s="1">
        <v>4</v>
      </c>
      <c r="AW19" s="1">
        <v>4</v>
      </c>
      <c r="AX19" s="1">
        <v>4</v>
      </c>
      <c r="AY19" s="1">
        <v>4</v>
      </c>
      <c r="AZ19" s="1">
        <v>4</v>
      </c>
      <c r="BA19" s="1">
        <v>4</v>
      </c>
      <c r="BB19" s="1">
        <v>4</v>
      </c>
      <c r="BC19" s="1">
        <v>4</v>
      </c>
      <c r="BD19" s="1">
        <v>4</v>
      </c>
      <c r="BE19" s="11">
        <v>4</v>
      </c>
      <c r="BF19" s="28">
        <v>4</v>
      </c>
      <c r="BG19" s="1">
        <v>4</v>
      </c>
      <c r="BH19" s="1">
        <v>4</v>
      </c>
      <c r="BI19" s="1">
        <v>4</v>
      </c>
      <c r="BJ19" s="1">
        <v>4</v>
      </c>
      <c r="BK19" s="1">
        <v>4</v>
      </c>
      <c r="BL19" s="28">
        <v>4</v>
      </c>
      <c r="BM19" s="1">
        <v>4</v>
      </c>
      <c r="BN19" s="1">
        <v>4</v>
      </c>
      <c r="BO19" s="1">
        <v>4</v>
      </c>
      <c r="BP19" s="1">
        <v>4</v>
      </c>
      <c r="BQ19" s="1">
        <v>4</v>
      </c>
    </row>
    <row r="20" spans="2:69" x14ac:dyDescent="0.35">
      <c r="B20" s="3" t="s">
        <v>20</v>
      </c>
      <c r="D20" s="28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1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N20" s="1" t="s">
        <v>44</v>
      </c>
      <c r="O20" s="1" t="s">
        <v>44</v>
      </c>
      <c r="P20" s="1" t="s">
        <v>44</v>
      </c>
      <c r="Q20" s="1" t="s">
        <v>44</v>
      </c>
      <c r="R20" s="1" t="s">
        <v>44</v>
      </c>
      <c r="S20" s="11" t="s">
        <v>44</v>
      </c>
      <c r="T20" s="28" t="s">
        <v>44</v>
      </c>
      <c r="U20" s="1" t="s">
        <v>44</v>
      </c>
      <c r="V20" s="1" t="s">
        <v>44</v>
      </c>
      <c r="W20" s="1" t="s">
        <v>44</v>
      </c>
      <c r="X20" s="1" t="s">
        <v>44</v>
      </c>
      <c r="Y20" s="1" t="s">
        <v>44</v>
      </c>
      <c r="Z20" s="28" t="s">
        <v>44</v>
      </c>
      <c r="AA20" s="1" t="s">
        <v>44</v>
      </c>
      <c r="AB20" s="1" t="s">
        <v>44</v>
      </c>
      <c r="AC20" s="1" t="s">
        <v>44</v>
      </c>
      <c r="AD20" s="1" t="s">
        <v>44</v>
      </c>
      <c r="AE20" s="1" t="s">
        <v>44</v>
      </c>
      <c r="AF20" s="28" t="s">
        <v>44</v>
      </c>
      <c r="AG20" s="1" t="s">
        <v>44</v>
      </c>
      <c r="AH20" s="11" t="s">
        <v>44</v>
      </c>
      <c r="AI20" s="28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1" t="s">
        <v>44</v>
      </c>
      <c r="AP20" s="28" t="s">
        <v>44</v>
      </c>
      <c r="AQ20" s="1" t="s">
        <v>44</v>
      </c>
      <c r="AR20" s="1" t="s">
        <v>44</v>
      </c>
      <c r="AS20" s="1" t="s">
        <v>44</v>
      </c>
      <c r="AT20" s="1" t="s">
        <v>44</v>
      </c>
      <c r="AU20" s="1" t="s">
        <v>44</v>
      </c>
      <c r="AV20" s="1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1" t="s">
        <v>44</v>
      </c>
      <c r="BB20" s="1" t="s">
        <v>44</v>
      </c>
      <c r="BC20" s="1" t="s">
        <v>44</v>
      </c>
      <c r="BD20" s="1" t="s">
        <v>44</v>
      </c>
      <c r="BE20" s="11" t="s">
        <v>44</v>
      </c>
      <c r="BF20" s="28" t="s">
        <v>44</v>
      </c>
      <c r="BG20" s="1" t="s">
        <v>44</v>
      </c>
      <c r="BH20" s="1" t="s">
        <v>44</v>
      </c>
      <c r="BI20" s="1" t="s">
        <v>44</v>
      </c>
      <c r="BJ20" s="1" t="s">
        <v>44</v>
      </c>
      <c r="BK20" s="1" t="s">
        <v>44</v>
      </c>
      <c r="BL20" s="28" t="s">
        <v>44</v>
      </c>
      <c r="BM20" s="1" t="s">
        <v>44</v>
      </c>
      <c r="BN20" s="1" t="s">
        <v>44</v>
      </c>
      <c r="BO20" s="1" t="s">
        <v>44</v>
      </c>
      <c r="BP20" s="1" t="s">
        <v>44</v>
      </c>
      <c r="BQ20" s="1" t="s">
        <v>44</v>
      </c>
    </row>
    <row r="21" spans="2:69" x14ac:dyDescent="0.35">
      <c r="B21" s="6" t="s">
        <v>22</v>
      </c>
      <c r="D21" s="29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6"/>
      <c r="T21" s="29"/>
      <c r="U21" s="17"/>
      <c r="V21" s="17"/>
      <c r="W21" s="17"/>
      <c r="X21" s="17"/>
      <c r="Y21" s="17"/>
      <c r="Z21" s="29"/>
      <c r="AA21" s="17"/>
      <c r="AB21" s="17"/>
      <c r="AC21" s="17"/>
      <c r="AD21" s="17"/>
      <c r="AE21" s="17"/>
      <c r="AF21" s="29"/>
      <c r="AG21" s="17"/>
      <c r="AH21" s="16"/>
      <c r="AI21" s="29"/>
      <c r="AJ21" s="17"/>
      <c r="AK21" s="17"/>
      <c r="AL21" s="17"/>
      <c r="AM21" s="17"/>
      <c r="AN21" s="17"/>
      <c r="AO21" s="16"/>
      <c r="AP21" s="29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6"/>
      <c r="BF21" s="29"/>
      <c r="BG21" s="17"/>
      <c r="BH21" s="17"/>
      <c r="BI21" s="17"/>
      <c r="BJ21" s="17"/>
      <c r="BK21" s="17"/>
      <c r="BL21" s="29"/>
      <c r="BM21" s="17"/>
      <c r="BN21" s="17"/>
      <c r="BO21" s="17"/>
      <c r="BP21" s="17"/>
      <c r="BQ21" s="17"/>
    </row>
    <row r="22" spans="2:69" x14ac:dyDescent="0.35">
      <c r="B22" s="7" t="s">
        <v>23</v>
      </c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1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1" t="s">
        <v>24</v>
      </c>
      <c r="Q22" s="1" t="s">
        <v>24</v>
      </c>
      <c r="R22" s="1" t="s">
        <v>24</v>
      </c>
      <c r="S22" s="11" t="s">
        <v>24</v>
      </c>
      <c r="T22" s="28" t="s">
        <v>24</v>
      </c>
      <c r="U22" s="1" t="s">
        <v>24</v>
      </c>
      <c r="V22" s="1" t="s">
        <v>24</v>
      </c>
      <c r="W22" s="1" t="s">
        <v>24</v>
      </c>
      <c r="X22" s="1" t="s">
        <v>24</v>
      </c>
      <c r="Y22" s="1" t="s">
        <v>24</v>
      </c>
      <c r="Z22" s="28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1" t="s">
        <v>24</v>
      </c>
      <c r="AF22" s="28" t="s">
        <v>24</v>
      </c>
      <c r="AG22" s="1" t="s">
        <v>24</v>
      </c>
      <c r="AH22" s="11" t="s">
        <v>24</v>
      </c>
      <c r="AI22" s="28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1" t="s">
        <v>24</v>
      </c>
      <c r="AP22" s="28" t="s">
        <v>24</v>
      </c>
      <c r="AQ22" s="1" t="s">
        <v>24</v>
      </c>
      <c r="AR22" s="1" t="s">
        <v>24</v>
      </c>
      <c r="AS22" s="1" t="s">
        <v>24</v>
      </c>
      <c r="AT22" s="1" t="s">
        <v>24</v>
      </c>
      <c r="AU22" s="1" t="s">
        <v>24</v>
      </c>
      <c r="AV22" s="1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1" t="s">
        <v>24</v>
      </c>
      <c r="BB22" s="1" t="s">
        <v>24</v>
      </c>
      <c r="BC22" s="1" t="s">
        <v>24</v>
      </c>
      <c r="BD22" s="1" t="s">
        <v>24</v>
      </c>
      <c r="BE22" s="11" t="s">
        <v>24</v>
      </c>
      <c r="BF22" s="28" t="s">
        <v>24</v>
      </c>
      <c r="BG22" s="1" t="s">
        <v>24</v>
      </c>
      <c r="BH22" s="1" t="s">
        <v>24</v>
      </c>
      <c r="BI22" s="1" t="s">
        <v>24</v>
      </c>
      <c r="BJ22" s="1" t="s">
        <v>24</v>
      </c>
      <c r="BK22" s="1" t="s">
        <v>24</v>
      </c>
      <c r="BL22" s="28" t="s">
        <v>24</v>
      </c>
      <c r="BM22" s="1" t="s">
        <v>24</v>
      </c>
      <c r="BN22" s="1" t="s">
        <v>24</v>
      </c>
      <c r="BO22" s="1" t="s">
        <v>24</v>
      </c>
      <c r="BP22" s="1" t="s">
        <v>24</v>
      </c>
      <c r="BQ22" s="1" t="s">
        <v>24</v>
      </c>
    </row>
    <row r="23" spans="2:69" x14ac:dyDescent="0.35">
      <c r="B23" s="7" t="s">
        <v>25</v>
      </c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1">
        <v>0</v>
      </c>
      <c r="T23" s="28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28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28">
        <v>0</v>
      </c>
      <c r="AG23" s="1">
        <v>0</v>
      </c>
      <c r="AH23" s="11">
        <v>0</v>
      </c>
      <c r="AI23" s="28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1">
        <v>0</v>
      </c>
      <c r="AP23" s="28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1">
        <v>0</v>
      </c>
      <c r="BF23" s="28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28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</row>
    <row r="24" spans="2:69" x14ac:dyDescent="0.35">
      <c r="B24" s="7" t="s">
        <v>26</v>
      </c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1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1" t="s">
        <v>27</v>
      </c>
      <c r="Q24" s="1" t="s">
        <v>27</v>
      </c>
      <c r="R24" s="1" t="s">
        <v>27</v>
      </c>
      <c r="S24" s="11" t="s">
        <v>27</v>
      </c>
      <c r="T24" s="28" t="s">
        <v>27</v>
      </c>
      <c r="U24" s="1" t="s">
        <v>27</v>
      </c>
      <c r="V24" s="1" t="s">
        <v>27</v>
      </c>
      <c r="W24" s="1" t="s">
        <v>27</v>
      </c>
      <c r="X24" s="1" t="s">
        <v>27</v>
      </c>
      <c r="Y24" s="1" t="s">
        <v>27</v>
      </c>
      <c r="Z24" s="28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1" t="s">
        <v>27</v>
      </c>
      <c r="AF24" s="28" t="s">
        <v>27</v>
      </c>
      <c r="AG24" s="1" t="s">
        <v>27</v>
      </c>
      <c r="AH24" s="11" t="s">
        <v>27</v>
      </c>
      <c r="AI24" s="28" t="s">
        <v>27</v>
      </c>
      <c r="AJ24" s="1" t="s">
        <v>27</v>
      </c>
      <c r="AK24" s="1" t="s">
        <v>27</v>
      </c>
      <c r="AL24" s="1" t="s">
        <v>27</v>
      </c>
      <c r="AM24" s="1" t="s">
        <v>27</v>
      </c>
      <c r="AN24" s="1" t="s">
        <v>27</v>
      </c>
      <c r="AO24" s="11" t="s">
        <v>27</v>
      </c>
      <c r="AP24" s="28" t="s">
        <v>27</v>
      </c>
      <c r="AQ24" s="1" t="s">
        <v>27</v>
      </c>
      <c r="AR24" s="1" t="s">
        <v>27</v>
      </c>
      <c r="AS24" s="1" t="s">
        <v>27</v>
      </c>
      <c r="AT24" s="1" t="s">
        <v>27</v>
      </c>
      <c r="AU24" s="1" t="s">
        <v>27</v>
      </c>
      <c r="AV24" s="1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1" t="s">
        <v>27</v>
      </c>
      <c r="BB24" s="1" t="s">
        <v>27</v>
      </c>
      <c r="BC24" s="1" t="s">
        <v>27</v>
      </c>
      <c r="BD24" s="1" t="s">
        <v>27</v>
      </c>
      <c r="BE24" s="11" t="s">
        <v>27</v>
      </c>
      <c r="BF24" s="28" t="s">
        <v>27</v>
      </c>
      <c r="BG24" s="1" t="s">
        <v>27</v>
      </c>
      <c r="BH24" s="1" t="s">
        <v>27</v>
      </c>
      <c r="BI24" s="1" t="s">
        <v>27</v>
      </c>
      <c r="BJ24" s="1" t="s">
        <v>27</v>
      </c>
      <c r="BK24" s="1" t="s">
        <v>27</v>
      </c>
      <c r="BL24" s="28" t="s">
        <v>27</v>
      </c>
      <c r="BM24" s="1" t="s">
        <v>27</v>
      </c>
      <c r="BN24" s="1" t="s">
        <v>27</v>
      </c>
      <c r="BO24" s="1" t="s">
        <v>27</v>
      </c>
      <c r="BP24" s="1" t="s">
        <v>27</v>
      </c>
      <c r="BQ24" s="1" t="s">
        <v>27</v>
      </c>
    </row>
    <row r="25" spans="2:69" x14ac:dyDescent="0.35">
      <c r="B25" s="6" t="s">
        <v>28</v>
      </c>
      <c r="D25" s="29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6"/>
      <c r="T25" s="29"/>
      <c r="U25" s="17"/>
      <c r="V25" s="17"/>
      <c r="W25" s="17"/>
      <c r="X25" s="17"/>
      <c r="Y25" s="17"/>
      <c r="Z25" s="29"/>
      <c r="AA25" s="17"/>
      <c r="AB25" s="17"/>
      <c r="AC25" s="17"/>
      <c r="AD25" s="17"/>
      <c r="AE25" s="17"/>
      <c r="AF25" s="29"/>
      <c r="AG25" s="17"/>
      <c r="AH25" s="16"/>
      <c r="AI25" s="29"/>
      <c r="AJ25" s="17"/>
      <c r="AK25" s="17"/>
      <c r="AL25" s="17"/>
      <c r="AM25" s="17"/>
      <c r="AN25" s="17"/>
      <c r="AO25" s="16"/>
      <c r="AP25" s="29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6"/>
      <c r="BF25" s="29"/>
      <c r="BG25" s="17"/>
      <c r="BH25" s="17"/>
      <c r="BI25" s="17"/>
      <c r="BJ25" s="17"/>
      <c r="BK25" s="17"/>
      <c r="BL25" s="29"/>
      <c r="BM25" s="17"/>
      <c r="BN25" s="17"/>
      <c r="BO25" s="17"/>
      <c r="BP25" s="17"/>
      <c r="BQ25" s="17"/>
    </row>
    <row r="26" spans="2:69" x14ac:dyDescent="0.35">
      <c r="B26" s="8" t="s">
        <v>29</v>
      </c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1" cm="1">
        <f t="array" ref="I26">Comm_MCS_ModOrd(I16,I17)</f>
        <v>8</v>
      </c>
      <c r="J26" s="1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" cm="1">
        <f t="array" ref="O26">Comm_MCS_ModOrd(O16,O17)</f>
        <v>8</v>
      </c>
      <c r="P26" s="1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1" cm="1">
        <f t="array" ref="S26">Comm_MCS_ModOrd(S16,S17)</f>
        <v>8</v>
      </c>
      <c r="T26" s="28" cm="1">
        <f t="array" ref="T26">Comm_MCS_ModOrd(T16,T17)</f>
        <v>8</v>
      </c>
      <c r="U26" s="1" cm="1">
        <f t="array" ref="U26">Comm_MCS_ModOrd(U16,U17)</f>
        <v>8</v>
      </c>
      <c r="V26" s="1" cm="1">
        <f t="array" ref="V26">Comm_MCS_ModOrd(V16,V17)</f>
        <v>8</v>
      </c>
      <c r="W26" s="1" cm="1">
        <f t="array" ref="W26">Comm_MCS_ModOrd(W16,W17)</f>
        <v>8</v>
      </c>
      <c r="X26" s="1" cm="1">
        <f t="array" ref="X26">Comm_MCS_ModOrd(X16,X17)</f>
        <v>8</v>
      </c>
      <c r="Y26" s="1" cm="1">
        <f t="array" ref="Y26">Comm_MCS_ModOrd(Y16,Y17)</f>
        <v>8</v>
      </c>
      <c r="Z26" s="28" cm="1">
        <f t="array" ref="Z26">Comm_MCS_ModOrd(Z16,Z17)</f>
        <v>8</v>
      </c>
      <c r="AA26" s="1" cm="1">
        <f t="array" ref="AA26">Comm_MCS_ModOrd(AA16,AA17)</f>
        <v>8</v>
      </c>
      <c r="AB26" s="1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1" cm="1">
        <f t="array" ref="AE26">Comm_MCS_ModOrd(AE16,AE17)</f>
        <v>8</v>
      </c>
      <c r="AF26" s="28" cm="1">
        <f t="array" ref="AF26">Comm_MCS_ModOrd(AF16,AF17)</f>
        <v>8</v>
      </c>
      <c r="AG26" s="1" cm="1">
        <f t="array" ref="AG26">Comm_MCS_ModOrd(AG16,AG17)</f>
        <v>6</v>
      </c>
      <c r="AH26" s="11" cm="1">
        <f t="array" ref="AH26">Comm_MCS_ModOrd(AH16,AH17)</f>
        <v>4</v>
      </c>
      <c r="AI26" s="28" cm="1">
        <f t="array" ref="AI26">Comm_MCS_ModOrd(AI16,AI17)</f>
        <v>8</v>
      </c>
      <c r="AJ26" s="1" cm="1">
        <f t="array" ref="AJ26">Comm_MCS_ModOrd(AJ16,AJ17)</f>
        <v>8</v>
      </c>
      <c r="AK26" s="1" cm="1">
        <f t="array" ref="AK26">Comm_MCS_ModOrd(AK16,AK17)</f>
        <v>6</v>
      </c>
      <c r="AL26" s="1" cm="1">
        <f t="array" ref="AL26">Comm_MCS_ModOrd(AL16,AL17)</f>
        <v>6</v>
      </c>
      <c r="AM26" s="1" cm="1">
        <f t="array" ref="AM26">Comm_MCS_ModOrd(AM16,AM17)</f>
        <v>6</v>
      </c>
      <c r="AN26" s="1" cm="1">
        <f t="array" ref="AN26">Comm_MCS_ModOrd(AN16,AN17)</f>
        <v>6</v>
      </c>
      <c r="AO26" s="11" cm="1">
        <f t="array" ref="AO26">Comm_MCS_ModOrd(AO16,AO17)</f>
        <v>4</v>
      </c>
      <c r="AP26" s="28" cm="1">
        <f t="array" ref="AP26">Comm_MCS_ModOrd(AP16,AP17)</f>
        <v>8</v>
      </c>
      <c r="AQ26" s="1" cm="1">
        <f t="array" ref="AQ26">Comm_MCS_ModOrd(AQ16,AQ17)</f>
        <v>8</v>
      </c>
      <c r="AR26" s="1" cm="1">
        <f t="array" ref="AR26">Comm_MCS_ModOrd(AR16,AR17)</f>
        <v>8</v>
      </c>
      <c r="AS26" s="1" cm="1">
        <f t="array" ref="AS26">Comm_MCS_ModOrd(AS16,AS17)</f>
        <v>8</v>
      </c>
      <c r="AT26" s="1" cm="1">
        <f t="array" ref="AT26">Comm_MCS_ModOrd(AT16,AT17)</f>
        <v>8</v>
      </c>
      <c r="AU26" s="1" cm="1">
        <f t="array" ref="AU26">Comm_MCS_ModOrd(AU16,AU17)</f>
        <v>8</v>
      </c>
      <c r="AV26" s="1" cm="1">
        <f t="array" ref="AV26">Comm_MCS_ModOrd(AV16,AV17)</f>
        <v>8</v>
      </c>
      <c r="AW26" s="1" cm="1">
        <f t="array" ref="AW26">Comm_MCS_ModOrd(AW16,AW17)</f>
        <v>8</v>
      </c>
      <c r="AX26" s="1" cm="1">
        <f t="array" ref="AX26">Comm_MCS_ModOrd(AX16,AX17)</f>
        <v>8</v>
      </c>
      <c r="AY26" s="1" cm="1">
        <f t="array" ref="AY26">Comm_MCS_ModOrd(AY16,AY17)</f>
        <v>8</v>
      </c>
      <c r="AZ26" s="1" cm="1">
        <f t="array" ref="AZ26">Comm_MCS_ModOrd(AZ16,AZ17)</f>
        <v>8</v>
      </c>
      <c r="BA26" s="1" cm="1">
        <f t="array" ref="BA26">Comm_MCS_ModOrd(BA16,BA17)</f>
        <v>8</v>
      </c>
      <c r="BB26" s="1" cm="1">
        <f t="array" ref="BB26">Comm_MCS_ModOrd(BB16,BB17)</f>
        <v>8</v>
      </c>
      <c r="BC26" s="1" cm="1">
        <f t="array" ref="BC26">Comm_MCS_ModOrd(BC16,BC17)</f>
        <v>8</v>
      </c>
      <c r="BD26" s="1" cm="1">
        <f t="array" ref="BD26">Comm_MCS_ModOrd(BD16,BD17)</f>
        <v>8</v>
      </c>
      <c r="BE26" s="11" cm="1">
        <f t="array" ref="BE26">Comm_MCS_ModOrd(BE16,BE17)</f>
        <v>8</v>
      </c>
      <c r="BF26" s="28" cm="1">
        <f t="array" ref="BF26">Comm_MCS_ModOrd(BF16,BF17)</f>
        <v>8</v>
      </c>
      <c r="BG26" s="1" cm="1">
        <f t="array" ref="BG26">Comm_MCS_ModOrd(BG16,BG17)</f>
        <v>8</v>
      </c>
      <c r="BH26" s="1" cm="1">
        <f t="array" ref="BH26">Comm_MCS_ModOrd(BH16,BH17)</f>
        <v>8</v>
      </c>
      <c r="BI26" s="1" cm="1">
        <f t="array" ref="BI26">Comm_MCS_ModOrd(BI16,BI17)</f>
        <v>8</v>
      </c>
      <c r="BJ26" s="1" cm="1">
        <f t="array" ref="BJ26">Comm_MCS_ModOrd(BJ16,BJ17)</f>
        <v>8</v>
      </c>
      <c r="BK26" s="1" cm="1">
        <f t="array" ref="BK26">Comm_MCS_ModOrd(BK16,BK17)</f>
        <v>8</v>
      </c>
      <c r="BL26" s="28" cm="1">
        <f t="array" ref="BL26">Comm_MCS_ModOrd(BL16,BL17)</f>
        <v>8</v>
      </c>
      <c r="BM26" s="1" cm="1">
        <f t="array" ref="BM26">Comm_MCS_ModOrd(BM16,BM17)</f>
        <v>8</v>
      </c>
      <c r="BN26" s="1" cm="1">
        <f t="array" ref="BN26">Comm_MCS_ModOrd(BN16,BN17)</f>
        <v>8</v>
      </c>
      <c r="BO26" s="1" cm="1">
        <f t="array" ref="BO26">Comm_MCS_ModOrd(BO16,BO17)</f>
        <v>8</v>
      </c>
      <c r="BP26" s="1" cm="1">
        <f t="array" ref="BP26">Comm_MCS_ModOrd(BP16,BP17)</f>
        <v>8</v>
      </c>
      <c r="BQ26" s="1" cm="1">
        <f t="array" ref="BQ26">Comm_MCS_ModOrd(BQ16,BQ17)</f>
        <v>8</v>
      </c>
    </row>
    <row r="27" spans="2:69" x14ac:dyDescent="0.35">
      <c r="B27" s="8" t="s">
        <v>30</v>
      </c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1" cm="1">
        <f t="array" ref="I27">Comm_MCS_CodeRate(I16,I17)</f>
        <v>948</v>
      </c>
      <c r="J27" s="1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" cm="1">
        <f t="array" ref="O27">Comm_MCS_CodeRate(O16,O17)</f>
        <v>948</v>
      </c>
      <c r="P27" s="1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1" cm="1">
        <f t="array" ref="S27">Comm_MCS_CodeRate(S16,S17)</f>
        <v>948</v>
      </c>
      <c r="T27" s="28" cm="1">
        <f t="array" ref="T27">Comm_MCS_CodeRate(T16,T17)</f>
        <v>948</v>
      </c>
      <c r="U27" s="1" cm="1">
        <f t="array" ref="U27">Comm_MCS_CodeRate(U16,U17)</f>
        <v>948</v>
      </c>
      <c r="V27" s="1" cm="1">
        <f t="array" ref="V27">Comm_MCS_CodeRate(V16,V17)</f>
        <v>948</v>
      </c>
      <c r="W27" s="1" cm="1">
        <f t="array" ref="W27">Comm_MCS_CodeRate(W16,W17)</f>
        <v>948</v>
      </c>
      <c r="X27" s="1" cm="1">
        <f t="array" ref="X27">Comm_MCS_CodeRate(X16,X17)</f>
        <v>948</v>
      </c>
      <c r="Y27" s="1" cm="1">
        <f t="array" ref="Y27">Comm_MCS_CodeRate(Y16,Y17)</f>
        <v>948</v>
      </c>
      <c r="Z27" s="28" cm="1">
        <f t="array" ref="Z27">Comm_MCS_CodeRate(Z16,Z17)</f>
        <v>948</v>
      </c>
      <c r="AA27" s="1" cm="1">
        <f t="array" ref="AA27">Comm_MCS_CodeRate(AA16,AA17)</f>
        <v>948</v>
      </c>
      <c r="AB27" s="1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1" cm="1">
        <f t="array" ref="AE27">Comm_MCS_CodeRate(AE16,AE17)</f>
        <v>948</v>
      </c>
      <c r="AF27" s="28" cm="1">
        <f t="array" ref="AF27">Comm_MCS_CodeRate(AF16,AF17)</f>
        <v>841</v>
      </c>
      <c r="AG27" s="1" cm="1">
        <f t="array" ref="AG27">Comm_MCS_CodeRate(AG16,AG17)</f>
        <v>567</v>
      </c>
      <c r="AH27" s="11" cm="1">
        <f t="array" ref="AH27">Comm_MCS_CodeRate(AH16,AH17)</f>
        <v>490</v>
      </c>
      <c r="AI27" s="28" cm="1">
        <f t="array" ref="AI27">Comm_MCS_CodeRate(AI16,AI17)</f>
        <v>841</v>
      </c>
      <c r="AJ27" s="1" cm="1">
        <f t="array" ref="AJ27">Comm_MCS_CodeRate(AJ16,AJ17)</f>
        <v>841</v>
      </c>
      <c r="AK27" s="1" cm="1">
        <f t="array" ref="AK27">Comm_MCS_CodeRate(AK16,AK17)</f>
        <v>567</v>
      </c>
      <c r="AL27" s="1" cm="1">
        <f t="array" ref="AL27">Comm_MCS_CodeRate(AL16,AL17)</f>
        <v>567</v>
      </c>
      <c r="AM27" s="1" cm="1">
        <f t="array" ref="AM27">Comm_MCS_CodeRate(AM16,AM17)</f>
        <v>567</v>
      </c>
      <c r="AN27" s="1" cm="1">
        <f t="array" ref="AN27">Comm_MCS_CodeRate(AN16,AN17)</f>
        <v>567</v>
      </c>
      <c r="AO27" s="11" cm="1">
        <f t="array" ref="AO27">Comm_MCS_CodeRate(AO16,AO17)</f>
        <v>490</v>
      </c>
      <c r="AP27" s="28" cm="1">
        <f t="array" ref="AP27">Comm_MCS_CodeRate(AP16,AP17)</f>
        <v>948</v>
      </c>
      <c r="AQ27" s="1" cm="1">
        <f t="array" ref="AQ27">Comm_MCS_CodeRate(AQ16,AQ17)</f>
        <v>948</v>
      </c>
      <c r="AR27" s="1" cm="1">
        <f t="array" ref="AR27">Comm_MCS_CodeRate(AR16,AR17)</f>
        <v>948</v>
      </c>
      <c r="AS27" s="1" cm="1">
        <f t="array" ref="AS27">Comm_MCS_CodeRate(AS16,AS17)</f>
        <v>948</v>
      </c>
      <c r="AT27" s="1" cm="1">
        <f t="array" ref="AT27">Comm_MCS_CodeRate(AT16,AT17)</f>
        <v>948</v>
      </c>
      <c r="AU27" s="1" cm="1">
        <f t="array" ref="AU27">Comm_MCS_CodeRate(AU16,AU17)</f>
        <v>948</v>
      </c>
      <c r="AV27" s="1" cm="1">
        <f t="array" ref="AV27">Comm_MCS_CodeRate(AV16,AV17)</f>
        <v>948</v>
      </c>
      <c r="AW27" s="1" cm="1">
        <f t="array" ref="AW27">Comm_MCS_CodeRate(AW16,AW17)</f>
        <v>948</v>
      </c>
      <c r="AX27" s="1" cm="1">
        <f t="array" ref="AX27">Comm_MCS_CodeRate(AX16,AX17)</f>
        <v>948</v>
      </c>
      <c r="AY27" s="1" cm="1">
        <f t="array" ref="AY27">Comm_MCS_CodeRate(AY16,AY17)</f>
        <v>948</v>
      </c>
      <c r="AZ27" s="1" cm="1">
        <f t="array" ref="AZ27">Comm_MCS_CodeRate(AZ16,AZ17)</f>
        <v>948</v>
      </c>
      <c r="BA27" s="1" cm="1">
        <f t="array" ref="BA27">Comm_MCS_CodeRate(BA16,BA17)</f>
        <v>948</v>
      </c>
      <c r="BB27" s="1" cm="1">
        <f t="array" ref="BB27">Comm_MCS_CodeRate(BB16,BB17)</f>
        <v>948</v>
      </c>
      <c r="BC27" s="1" cm="1">
        <f t="array" ref="BC27">Comm_MCS_CodeRate(BC16,BC17)</f>
        <v>948</v>
      </c>
      <c r="BD27" s="1" cm="1">
        <f t="array" ref="BD27">Comm_MCS_CodeRate(BD16,BD17)</f>
        <v>948</v>
      </c>
      <c r="BE27" s="11" cm="1">
        <f t="array" ref="BE27">Comm_MCS_CodeRate(BE16,BE17)</f>
        <v>948</v>
      </c>
      <c r="BF27" s="28" cm="1">
        <f t="array" ref="BF27">Comm_MCS_CodeRate(BF16,BF17)</f>
        <v>948</v>
      </c>
      <c r="BG27" s="1" cm="1">
        <f t="array" ref="BG27">Comm_MCS_CodeRate(BG16,BG17)</f>
        <v>948</v>
      </c>
      <c r="BH27" s="1" cm="1">
        <f t="array" ref="BH27">Comm_MCS_CodeRate(BH16,BH17)</f>
        <v>948</v>
      </c>
      <c r="BI27" s="1" cm="1">
        <f t="array" ref="BI27">Comm_MCS_CodeRate(BI16,BI17)</f>
        <v>948</v>
      </c>
      <c r="BJ27" s="1" cm="1">
        <f t="array" ref="BJ27">Comm_MCS_CodeRate(BJ16,BJ17)</f>
        <v>948</v>
      </c>
      <c r="BK27" s="1" cm="1">
        <f t="array" ref="BK27">Comm_MCS_CodeRate(BK16,BK17)</f>
        <v>948</v>
      </c>
      <c r="BL27" s="28" cm="1">
        <f t="array" ref="BL27">Comm_MCS_CodeRate(BL16,BL17)</f>
        <v>948</v>
      </c>
      <c r="BM27" s="1" cm="1">
        <f t="array" ref="BM27">Comm_MCS_CodeRate(BM16,BM17)</f>
        <v>948</v>
      </c>
      <c r="BN27" s="1" cm="1">
        <f t="array" ref="BN27">Comm_MCS_CodeRate(BN16,BN17)</f>
        <v>948</v>
      </c>
      <c r="BO27" s="1" cm="1">
        <f t="array" ref="BO27">Comm_MCS_CodeRate(BO16,BO17)</f>
        <v>948</v>
      </c>
      <c r="BP27" s="1" cm="1">
        <f t="array" ref="BP27">Comm_MCS_CodeRate(BP16,BP17)</f>
        <v>948</v>
      </c>
      <c r="BQ27" s="1" cm="1">
        <f t="array" ref="BQ27">Comm_MCS_CodeRate(BQ16,BQ17)</f>
        <v>948</v>
      </c>
    </row>
    <row r="28" spans="2:69" x14ac:dyDescent="0.35">
      <c r="B28" s="9" t="s">
        <v>31</v>
      </c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1" cm="1">
        <f t="array" ref="I28">Comm_Z(I11,I26,I27,I12,I13,I10/I18)</f>
        <v>384</v>
      </c>
      <c r="J28" s="1" cm="1">
        <f t="array" ref="J28">Comm_Z(J11,J26,J27,J12,J13,J10/J18)</f>
        <v>384</v>
      </c>
      <c r="K28" s="1" cm="1">
        <f t="array" ref="K28">Comm_Z(K11,K26,K27,K12,K13,K10/K18)</f>
        <v>384</v>
      </c>
      <c r="L28" s="1" cm="1">
        <f t="array" ref="L28">Comm_Z(L11,L26,L27,L12,L13,L10/L18)</f>
        <v>384</v>
      </c>
      <c r="M28" s="1" cm="1">
        <f t="array" ref="M28">Comm_Z(M11,M26,M27,M12,M13,M10/M18)</f>
        <v>384</v>
      </c>
      <c r="N28" s="1" cm="1">
        <f t="array" ref="N28">Comm_Z(N11,N26,N27,N12,N13,N10/N18)</f>
        <v>384</v>
      </c>
      <c r="O28" s="1" cm="1">
        <f t="array" ref="O28">Comm_Z(O11,O26,O27,O12,O13,O10/O18)</f>
        <v>384</v>
      </c>
      <c r="P28" s="1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1" cm="1">
        <f t="array" ref="S28">Comm_Z(S11,S26,S27,S12,S13,S10/S18)</f>
        <v>384</v>
      </c>
      <c r="T28" s="28" cm="1">
        <f t="array" ref="T28">Comm_Z(T11,T26,T27,T12,T13,T10/T18)</f>
        <v>384</v>
      </c>
      <c r="U28" s="1" cm="1">
        <f t="array" ref="U28">Comm_Z(U11,U26,U27,U12,U13,U10/U18)</f>
        <v>384</v>
      </c>
      <c r="V28" s="1" cm="1">
        <f t="array" ref="V28">Comm_Z(V11,V26,V27,V12,V13,V10/V18)</f>
        <v>384</v>
      </c>
      <c r="W28" s="1" cm="1">
        <f t="array" ref="W28">Comm_Z(W11,W26,W27,W12,W13,W10/W18)</f>
        <v>384</v>
      </c>
      <c r="X28" s="1" cm="1">
        <f t="array" ref="X28">Comm_Z(X11,X26,X27,X12,X13,X10/X18)</f>
        <v>384</v>
      </c>
      <c r="Y28" s="1" cm="1">
        <f t="array" ref="Y28">Comm_Z(Y11,Y26,Y27,Y12,Y13,Y10/Y18)</f>
        <v>384</v>
      </c>
      <c r="Z28" s="28" cm="1">
        <f t="array" ref="Z28">Comm_Z(Z11,Z26,Z27,Z12,Z13,Z10/Z18)</f>
        <v>384</v>
      </c>
      <c r="AA28" s="1" cm="1">
        <f t="array" ref="AA28">Comm_Z(AA11,AA26,AA27,AA12,AA13,AA10/AA18)</f>
        <v>384</v>
      </c>
      <c r="AB28" s="1" cm="1">
        <f t="array" ref="AB28">Comm_Z(AB11,AB26,AB27,AB12,AB13,AB10/AB18)</f>
        <v>384</v>
      </c>
      <c r="AC28" s="1" cm="1">
        <f t="array" ref="AC28">Comm_Z(AC11,AC26,AC27,AC12,AC13,AC10/AC18)</f>
        <v>384</v>
      </c>
      <c r="AD28" s="1" cm="1">
        <f t="array" ref="AD28">Comm_Z(AD11,AD26,AD27,AD12,AD13,AD10/AD18)</f>
        <v>384</v>
      </c>
      <c r="AE28" s="1" cm="1">
        <f t="array" ref="AE28">Comm_Z(AE11,AE26,AE27,AE12,AE13,AE10/AE18)</f>
        <v>384</v>
      </c>
      <c r="AF28" s="28" cm="1">
        <f t="array" ref="AF28">Comm_Z(AF11,AF26,AF27,AF12,AF13,AF10/AF18)</f>
        <v>384</v>
      </c>
      <c r="AG28" s="1" cm="1">
        <f t="array" ref="AG28">Comm_Z(AG11,AG26,AG27,AG12,AG13,AG10/AG18)</f>
        <v>352</v>
      </c>
      <c r="AH28" s="11" cm="1">
        <f t="array" ref="AH28">Comm_Z(AH11,AH26,AH27,AH12,AH13,AH10/AH18)</f>
        <v>320</v>
      </c>
      <c r="AI28" s="28" cm="1">
        <f t="array" ref="AI28">Comm_Z(AI11,AI26,AI27,AI12,AI13,AI10/AI18)</f>
        <v>352</v>
      </c>
      <c r="AJ28" s="1" cm="1">
        <f t="array" ref="AJ28">Comm_Z(AJ11,AJ26,AJ27,AJ12,AJ13,AJ10/AJ18)</f>
        <v>352</v>
      </c>
      <c r="AK28" s="1" cm="1">
        <f t="array" ref="AK28">Comm_Z(AK11,AK26,AK27,AK12,AK13,AK10/AK18)</f>
        <v>352</v>
      </c>
      <c r="AL28" s="1" cm="1">
        <f t="array" ref="AL28">Comm_Z(AL11,AL26,AL27,AL12,AL13,AL10/AL18)</f>
        <v>352</v>
      </c>
      <c r="AM28" s="1" cm="1">
        <f t="array" ref="AM28">Comm_Z(AM11,AM26,AM27,AM12,AM13,AM10/AM18)</f>
        <v>352</v>
      </c>
      <c r="AN28" s="1" cm="1">
        <f t="array" ref="AN28">Comm_Z(AN11,AN26,AN27,AN12,AN13,AN10/AN18)</f>
        <v>352</v>
      </c>
      <c r="AO28" s="11" cm="1">
        <f t="array" ref="AO28">Comm_Z(AO11,AO26,AO27,AO12,AO13,AO10/AO18)</f>
        <v>320</v>
      </c>
      <c r="AP28" s="28" cm="1">
        <f t="array" ref="AP28">Comm_Z(AP11,AP26,AP27,AP12,AP13,AP10/AP18)</f>
        <v>320</v>
      </c>
      <c r="AQ28" s="1" cm="1">
        <f t="array" ref="AQ28">Comm_Z(AQ11,AQ26,AQ27,AQ12,AQ13,AQ10/AQ18)</f>
        <v>320</v>
      </c>
      <c r="AR28" s="1" cm="1">
        <f t="array" ref="AR28">Comm_Z(AR11,AR26,AR27,AR12,AR13,AR10/AR18)</f>
        <v>320</v>
      </c>
      <c r="AS28" s="1" cm="1">
        <f t="array" ref="AS28">Comm_Z(AS11,AS26,AS27,AS12,AS13,AS10/AS18)</f>
        <v>320</v>
      </c>
      <c r="AT28" s="1" cm="1">
        <f t="array" ref="AT28">Comm_Z(AT11,AT26,AT27,AT12,AT13,AT10/AT18)</f>
        <v>320</v>
      </c>
      <c r="AU28" s="1" cm="1">
        <f t="array" ref="AU28">Comm_Z(AU11,AU26,AU27,AU12,AU13,AU10/AU18)</f>
        <v>320</v>
      </c>
      <c r="AV28" s="1" cm="1">
        <f t="array" ref="AV28">Comm_Z(AV11,AV26,AV27,AV12,AV13,AV10/AV18)</f>
        <v>320</v>
      </c>
      <c r="AW28" s="1" cm="1">
        <f t="array" ref="AW28">Comm_Z(AW11,AW26,AW27,AW12,AW13,AW10/AW18)</f>
        <v>320</v>
      </c>
      <c r="AX28" s="1" cm="1">
        <f t="array" ref="AX28">Comm_Z(AX11,AX26,AX27,AX12,AX13,AX10/AX18)</f>
        <v>320</v>
      </c>
      <c r="AY28" s="1" cm="1">
        <f t="array" ref="AY28">Comm_Z(AY11,AY26,AY27,AY12,AY13,AY10/AY18)</f>
        <v>320</v>
      </c>
      <c r="AZ28" s="1" cm="1">
        <f t="array" ref="AZ28">Comm_Z(AZ11,AZ26,AZ27,AZ12,AZ13,AZ10/AZ18)</f>
        <v>320</v>
      </c>
      <c r="BA28" s="1" cm="1">
        <f t="array" ref="BA28">Comm_Z(BA11,BA26,BA27,BA12,BA13,BA10/BA18)</f>
        <v>320</v>
      </c>
      <c r="BB28" s="1" cm="1">
        <f t="array" ref="BB28">Comm_Z(BB11,BB26,BB27,BB12,BB13,BB10/BB18)</f>
        <v>320</v>
      </c>
      <c r="BC28" s="1" cm="1">
        <f t="array" ref="BC28">Comm_Z(BC11,BC26,BC27,BC12,BC13,BC10/BC18)</f>
        <v>320</v>
      </c>
      <c r="BD28" s="1" cm="1">
        <f t="array" ref="BD28">Comm_Z(BD11,BD26,BD27,BD12,BD13,BD10/BD18)</f>
        <v>320</v>
      </c>
      <c r="BE28" s="11" cm="1">
        <f t="array" ref="BE28">Comm_Z(BE11,BE26,BE27,BE12,BE13,BE10/BE18)</f>
        <v>320</v>
      </c>
      <c r="BF28" s="28" cm="1">
        <f t="array" ref="BF28">Comm_Z(BF11,BF26,BF27,BF12,BF13,BF10/BF18)</f>
        <v>320</v>
      </c>
      <c r="BG28" s="1" cm="1">
        <f t="array" ref="BG28">Comm_Z(BG11,BG26,BG27,BG12,BG13,BG10/BG18)</f>
        <v>320</v>
      </c>
      <c r="BH28" s="1" cm="1">
        <f t="array" ref="BH28">Comm_Z(BH11,BH26,BH27,BH12,BH13,BH10/BH18)</f>
        <v>320</v>
      </c>
      <c r="BI28" s="1" cm="1">
        <f t="array" ref="BI28">Comm_Z(BI11,BI26,BI27,BI12,BI13,BI10/BI18)</f>
        <v>320</v>
      </c>
      <c r="BJ28" s="1" cm="1">
        <f t="array" ref="BJ28">Comm_Z(BJ11,BJ26,BJ27,BJ12,BJ13,BJ10/BJ18)</f>
        <v>320</v>
      </c>
      <c r="BK28" s="1" cm="1">
        <f t="array" ref="BK28">Comm_Z(BK11,BK26,BK27,BK12,BK13,BK10/BK18)</f>
        <v>320</v>
      </c>
      <c r="BL28" s="28" cm="1">
        <f t="array" ref="BL28">Comm_Z(BL11,BL26,BL27,BL12,BL13,BL10/BL18)</f>
        <v>288</v>
      </c>
      <c r="BM28" s="1" cm="1">
        <f t="array" ref="BM28">Comm_Z(BM11,BM26,BM27,BM12,BM13,BM10/BM18)</f>
        <v>288</v>
      </c>
      <c r="BN28" s="1" cm="1">
        <f t="array" ref="BN28">Comm_Z(BN11,BN26,BN27,BN12,BN13,BN10/BN18)</f>
        <v>288</v>
      </c>
      <c r="BO28" s="1" cm="1">
        <f t="array" ref="BO28">Comm_Z(BO11,BO26,BO27,BO12,BO13,BO10/BO18)</f>
        <v>288</v>
      </c>
      <c r="BP28" s="1" cm="1">
        <f t="array" ref="BP28">Comm_Z(BP11,BP26,BP27,BP12,BP13,BP10/BP18)</f>
        <v>288</v>
      </c>
      <c r="BQ28" s="1" cm="1">
        <f t="array" ref="BQ28">Comm_Z(BQ11,BQ26,BQ27,BQ12,BQ13,BQ10/BQ18)</f>
        <v>288</v>
      </c>
    </row>
    <row r="29" spans="2:69" x14ac:dyDescent="0.35">
      <c r="B29" s="9" t="s">
        <v>32</v>
      </c>
      <c r="D29" s="28" cm="1">
        <f t="array" ref="D29">Comm_TBS(D11,D26,D27,D12,D13,D10/D18)</f>
        <v>71688</v>
      </c>
      <c r="E29" s="1" cm="1">
        <f t="array" ref="E29">Comm_TBS(E11,E26,E27,E12,E13,E10/E18)</f>
        <v>71688</v>
      </c>
      <c r="F29" s="1" cm="1">
        <f t="array" ref="F29">Comm_TBS(F11,F26,F27,F12,F13,F10/F18)</f>
        <v>71688</v>
      </c>
      <c r="G29" s="1" cm="1">
        <f t="array" ref="G29">Comm_TBS(G11,G26,G27,G12,G13,G10/G18)</f>
        <v>71688</v>
      </c>
      <c r="H29" s="1" cm="1">
        <f t="array" ref="H29">Comm_TBS(H11,H26,H27,H12,H13,H10/H18)</f>
        <v>71688</v>
      </c>
      <c r="I29" s="1" cm="1">
        <f t="array" ref="I29">Comm_TBS(I11,I26,I27,I12,I13,I10/I18)</f>
        <v>71688</v>
      </c>
      <c r="J29" s="1" cm="1">
        <f t="array" ref="J29">Comm_TBS(J11,J26,J27,J12,J13,J10/J18)</f>
        <v>71688</v>
      </c>
      <c r="K29" s="1" cm="1">
        <f t="array" ref="K29">Comm_TBS(K11,K26,K27,K12,K13,K10/K18)</f>
        <v>71688</v>
      </c>
      <c r="L29" s="1" cm="1">
        <f t="array" ref="L29">Comm_TBS(L11,L26,L27,L12,L13,L10/L18)</f>
        <v>71688</v>
      </c>
      <c r="M29" s="1" cm="1">
        <f t="array" ref="M29">Comm_TBS(M11,M26,M27,M12,M13,M10/M18)</f>
        <v>71688</v>
      </c>
      <c r="N29" s="1" cm="1">
        <f t="array" ref="N29">Comm_TBS(N11,N26,N27,N12,N13,N10/N18)</f>
        <v>71688</v>
      </c>
      <c r="O29" s="1" cm="1">
        <f t="array" ref="O29">Comm_TBS(O11,O26,O27,O12,O13,O10/O18)</f>
        <v>71688</v>
      </c>
      <c r="P29" s="1" cm="1">
        <f t="array" ref="P29">Comm_TBS(P11,P26,P27,P12,P13,P10/P18)</f>
        <v>71688</v>
      </c>
      <c r="Q29" s="1" cm="1">
        <f t="array" ref="Q29">Comm_TBS(Q11,Q26,Q27,Q12,Q13,Q10/Q18)</f>
        <v>71688</v>
      </c>
      <c r="R29" s="1" cm="1">
        <f t="array" ref="R29">Comm_TBS(R11,R26,R27,R12,R13,R10/R18)</f>
        <v>71688</v>
      </c>
      <c r="S29" s="11" cm="1">
        <f t="array" ref="S29">Comm_TBS(S11,S26,S27,S12,S13,S10/S18)</f>
        <v>71688</v>
      </c>
      <c r="T29" s="28" cm="1">
        <f t="array" ref="T29">Comm_TBS(T11,T26,T27,T12,T13,T10/T18)</f>
        <v>192624</v>
      </c>
      <c r="U29" s="1" cm="1">
        <f t="array" ref="U29">Comm_TBS(U11,U26,U27,U12,U13,U10/U18)</f>
        <v>192624</v>
      </c>
      <c r="V29" s="1" cm="1">
        <f t="array" ref="V29">Comm_TBS(V11,V26,V27,V12,V13,V10/V18)</f>
        <v>192624</v>
      </c>
      <c r="W29" s="1" cm="1">
        <f t="array" ref="W29">Comm_TBS(W11,W26,W27,W12,W13,W10/W18)</f>
        <v>192624</v>
      </c>
      <c r="X29" s="1" cm="1">
        <f t="array" ref="X29">Comm_TBS(X11,X26,X27,X12,X13,X10/X18)</f>
        <v>192624</v>
      </c>
      <c r="Y29" s="1" cm="1">
        <f t="array" ref="Y29">Comm_TBS(Y11,Y26,Y27,Y12,Y13,Y10/Y18)</f>
        <v>192624</v>
      </c>
      <c r="Z29" s="28" cm="1">
        <f t="array" ref="Z29">Comm_TBS(Z11,Z26,Z27,Z12,Z13,Z10/Z18)</f>
        <v>94248</v>
      </c>
      <c r="AA29" s="1" cm="1">
        <f t="array" ref="AA29">Comm_TBS(AA11,AA26,AA27,AA12,AA13,AA10/AA18)</f>
        <v>94248</v>
      </c>
      <c r="AB29" s="1" cm="1">
        <f t="array" ref="AB29">Comm_TBS(AB11,AB26,AB27,AB12,AB13,AB10/AB18)</f>
        <v>94248</v>
      </c>
      <c r="AC29" s="1" cm="1">
        <f t="array" ref="AC29">Comm_TBS(AC11,AC26,AC27,AC12,AC13,AC10/AC18)</f>
        <v>94248</v>
      </c>
      <c r="AD29" s="1" cm="1">
        <f t="array" ref="AD29">Comm_TBS(AD11,AD26,AD27,AD12,AD13,AD10/AD18)</f>
        <v>94248</v>
      </c>
      <c r="AE29" s="1" cm="1">
        <f t="array" ref="AE29">Comm_TBS(AE11,AE26,AE27,AE12,AE13,AE10/AE18)</f>
        <v>94248</v>
      </c>
      <c r="AF29" s="28" cm="1">
        <f t="array" ref="AF29">Comm_TBS(AF11,AF26,AF27,AF12,AF13,AF10/AF18)</f>
        <v>120936</v>
      </c>
      <c r="AG29" s="1" cm="1">
        <f t="array" ref="AG29">Comm_TBS(AG11,AG26,AG27,AG12,AG13,AG10/AG18)</f>
        <v>37896</v>
      </c>
      <c r="AH29" s="11" cm="1">
        <f t="array" ref="AH29">Comm_TBS(AH11,AH26,AH27,AH12,AH13,AH10/AH18)</f>
        <v>6528</v>
      </c>
      <c r="AI29" s="28" cm="1">
        <f t="array" ref="AI29">Comm_TBS(AI11,AI26,AI27,AI12,AI13,AI10/AI18)</f>
        <v>60456</v>
      </c>
      <c r="AJ29" s="1" cm="1">
        <f t="array" ref="AJ29">Comm_TBS(AJ11,AJ26,AJ27,AJ12,AJ13,AJ10/AJ18)</f>
        <v>60456</v>
      </c>
      <c r="AK29" s="1" cm="1">
        <f t="array" ref="AK29">Comm_TBS(AK11,AK26,AK27,AK12,AK13,AK10/AK18)</f>
        <v>7680</v>
      </c>
      <c r="AL29" s="1" cm="1">
        <f t="array" ref="AL29">Comm_TBS(AL11,AL26,AL27,AL12,AL13,AL10/AL18)</f>
        <v>7680</v>
      </c>
      <c r="AM29" s="1" cm="1">
        <f t="array" ref="AM29">Comm_TBS(AM11,AM26,AM27,AM12,AM13,AM10/AM18)</f>
        <v>7680</v>
      </c>
      <c r="AN29" s="1" cm="1">
        <f t="array" ref="AN29">Comm_TBS(AN11,AN26,AN27,AN12,AN13,AN10/AN18)</f>
        <v>15368</v>
      </c>
      <c r="AO29" s="11" cm="1">
        <f t="array" ref="AO29">Comm_TBS(AO11,AO26,AO27,AO12,AO13,AO10/AO18)</f>
        <v>6528</v>
      </c>
      <c r="AP29" s="28" cm="1">
        <f t="array" ref="AP29">Comm_TBS(AP11,AP26,AP27,AP12,AP13,AP10/AP18)</f>
        <v>33816</v>
      </c>
      <c r="AQ29" s="1" cm="1">
        <f t="array" ref="AQ29">Comm_TBS(AQ11,AQ26,AQ27,AQ12,AQ13,AQ10/AQ18)</f>
        <v>33816</v>
      </c>
      <c r="AR29" s="1" cm="1">
        <f t="array" ref="AR29">Comm_TBS(AR11,AR26,AR27,AR12,AR13,AR10/AR18)</f>
        <v>33816</v>
      </c>
      <c r="AS29" s="1" cm="1">
        <f t="array" ref="AS29">Comm_TBS(AS11,AS26,AS27,AS12,AS13,AS10/AS18)</f>
        <v>33816</v>
      </c>
      <c r="AT29" s="1" cm="1">
        <f t="array" ref="AT29">Comm_TBS(AT11,AT26,AT27,AT12,AT13,AT10/AT18)</f>
        <v>33816</v>
      </c>
      <c r="AU29" s="1" cm="1">
        <f t="array" ref="AU29">Comm_TBS(AU11,AU26,AU27,AU12,AU13,AU10/AU18)</f>
        <v>33816</v>
      </c>
      <c r="AV29" s="1" cm="1">
        <f t="array" ref="AV29">Comm_TBS(AV11,AV26,AV27,AV12,AV13,AV10/AV18)</f>
        <v>33816</v>
      </c>
      <c r="AW29" s="1" cm="1">
        <f t="array" ref="AW29">Comm_TBS(AW11,AW26,AW27,AW12,AW13,AW10/AW18)</f>
        <v>33816</v>
      </c>
      <c r="AX29" s="1" cm="1">
        <f t="array" ref="AX29">Comm_TBS(AX11,AX26,AX27,AX12,AX13,AX10/AX18)</f>
        <v>33816</v>
      </c>
      <c r="AY29" s="1" cm="1">
        <f t="array" ref="AY29">Comm_TBS(AY11,AY26,AY27,AY12,AY13,AY10/AY18)</f>
        <v>33816</v>
      </c>
      <c r="AZ29" s="1" cm="1">
        <f t="array" ref="AZ29">Comm_TBS(AZ11,AZ26,AZ27,AZ12,AZ13,AZ10/AZ18)</f>
        <v>33816</v>
      </c>
      <c r="BA29" s="1" cm="1">
        <f t="array" ref="BA29">Comm_TBS(BA11,BA26,BA27,BA12,BA13,BA10/BA18)</f>
        <v>33816</v>
      </c>
      <c r="BB29" s="1" cm="1">
        <f t="array" ref="BB29">Comm_TBS(BB11,BB26,BB27,BB12,BB13,BB10/BB18)</f>
        <v>33816</v>
      </c>
      <c r="BC29" s="1" cm="1">
        <f t="array" ref="BC29">Comm_TBS(BC11,BC26,BC27,BC12,BC13,BC10/BC18)</f>
        <v>33816</v>
      </c>
      <c r="BD29" s="1" cm="1">
        <f t="array" ref="BD29">Comm_TBS(BD11,BD26,BD27,BD12,BD13,BD10/BD18)</f>
        <v>33816</v>
      </c>
      <c r="BE29" s="11" cm="1">
        <f t="array" ref="BE29">Comm_TBS(BE11,BE26,BE27,BE12,BE13,BE10/BE18)</f>
        <v>33816</v>
      </c>
      <c r="BF29" s="28" cm="1">
        <f t="array" ref="BF29">Comm_TBS(BF11,BF26,BF27,BF12,BF13,BF10/BF18)</f>
        <v>33816</v>
      </c>
      <c r="BG29" s="1" cm="1">
        <f t="array" ref="BG29">Comm_TBS(BG11,BG26,BG27,BG12,BG13,BG10/BG18)</f>
        <v>33816</v>
      </c>
      <c r="BH29" s="1" cm="1">
        <f t="array" ref="BH29">Comm_TBS(BH11,BH26,BH27,BH12,BH13,BH10/BH18)</f>
        <v>33816</v>
      </c>
      <c r="BI29" s="1" cm="1">
        <f t="array" ref="BI29">Comm_TBS(BI11,BI26,BI27,BI12,BI13,BI10/BI18)</f>
        <v>33816</v>
      </c>
      <c r="BJ29" s="1" cm="1">
        <f t="array" ref="BJ29">Comm_TBS(BJ11,BJ26,BJ27,BJ12,BJ13,BJ10/BJ18)</f>
        <v>33816</v>
      </c>
      <c r="BK29" s="1" cm="1">
        <f t="array" ref="BK29">Comm_TBS(BK11,BK26,BK27,BK12,BK13,BK10/BK18)</f>
        <v>33816</v>
      </c>
      <c r="BL29" s="28" cm="1">
        <f t="array" ref="BL29">Comm_TBS(BL11,BL26,BL27,BL12,BL13,BL10/BL18)</f>
        <v>16896</v>
      </c>
      <c r="BM29" s="1" cm="1">
        <f t="array" ref="BM29">Comm_TBS(BM11,BM26,BM27,BM12,BM13,BM10/BM18)</f>
        <v>16896</v>
      </c>
      <c r="BN29" s="1" cm="1">
        <f t="array" ref="BN29">Comm_TBS(BN11,BN26,BN27,BN12,BN13,BN10/BN18)</f>
        <v>16896</v>
      </c>
      <c r="BO29" s="1" cm="1">
        <f t="array" ref="BO29">Comm_TBS(BO11,BO26,BO27,BO12,BO13,BO10/BO18)</f>
        <v>16896</v>
      </c>
      <c r="BP29" s="1" cm="1">
        <f t="array" ref="BP29">Comm_TBS(BP11,BP26,BP27,BP12,BP13,BP10/BP18)</f>
        <v>16896</v>
      </c>
      <c r="BQ29" s="1" cm="1">
        <f t="array" ref="BQ29">Comm_TBS(BQ11,BQ26,BQ27,BQ12,BQ13,BQ10/BQ18)</f>
        <v>16896</v>
      </c>
    </row>
    <row r="30" spans="2:69" x14ac:dyDescent="0.35">
      <c r="B30" s="9" t="s">
        <v>33</v>
      </c>
      <c r="D30" s="28" cm="1">
        <f t="array" ref="D30">Comm_CB(D11,D26,D27,D12,D13,D10/D18)</f>
        <v>9</v>
      </c>
      <c r="E30" s="1" cm="1">
        <f t="array" ref="E30">Comm_CB(E11,E26,E27,E12,E13,E10/E18)</f>
        <v>9</v>
      </c>
      <c r="F30" s="1" cm="1">
        <f t="array" ref="F30">Comm_CB(F11,F26,F27,F12,F13,F10/F18)</f>
        <v>9</v>
      </c>
      <c r="G30" s="1" cm="1">
        <f t="array" ref="G30">Comm_CB(G11,G26,G27,G12,G13,G10/G18)</f>
        <v>9</v>
      </c>
      <c r="H30" s="1" cm="1">
        <f t="array" ref="H30">Comm_CB(H11,H26,H27,H12,H13,H10/H18)</f>
        <v>9</v>
      </c>
      <c r="I30" s="1" cm="1">
        <f t="array" ref="I30">Comm_CB(I11,I26,I27,I12,I13,I10/I18)</f>
        <v>9</v>
      </c>
      <c r="J30" s="1" cm="1">
        <f t="array" ref="J30">Comm_CB(J11,J26,J27,J12,J13,J10/J18)</f>
        <v>9</v>
      </c>
      <c r="K30" s="1" cm="1">
        <f t="array" ref="K30">Comm_CB(K11,K26,K27,K12,K13,K10/K18)</f>
        <v>9</v>
      </c>
      <c r="L30" s="1" cm="1">
        <f t="array" ref="L30">Comm_CB(L11,L26,L27,L12,L13,L10/L18)</f>
        <v>9</v>
      </c>
      <c r="M30" s="1" cm="1">
        <f t="array" ref="M30">Comm_CB(M11,M26,M27,M12,M13,M10/M18)</f>
        <v>9</v>
      </c>
      <c r="N30" s="1" cm="1">
        <f t="array" ref="N30">Comm_CB(N11,N26,N27,N12,N13,N10/N18)</f>
        <v>9</v>
      </c>
      <c r="O30" s="1" cm="1">
        <f t="array" ref="O30">Comm_CB(O11,O26,O27,O12,O13,O10/O18)</f>
        <v>9</v>
      </c>
      <c r="P30" s="1" cm="1">
        <f t="array" ref="P30">Comm_CB(P11,P26,P27,P12,P13,P10/P18)</f>
        <v>9</v>
      </c>
      <c r="Q30" s="1" cm="1">
        <f t="array" ref="Q30">Comm_CB(Q11,Q26,Q27,Q12,Q13,Q10/Q18)</f>
        <v>9</v>
      </c>
      <c r="R30" s="1" cm="1">
        <f t="array" ref="R30">Comm_CB(R11,R26,R27,R12,R13,R10/R18)</f>
        <v>9</v>
      </c>
      <c r="S30" s="11" cm="1">
        <f t="array" ref="S30">Comm_CB(S11,S26,S27,S12,S13,S10/S18)</f>
        <v>9</v>
      </c>
      <c r="T30" s="28" cm="1">
        <f t="array" ref="T30">Comm_CB(T11,T26,T27,T12,T13,T10/T18)</f>
        <v>23</v>
      </c>
      <c r="U30" s="1" cm="1">
        <f t="array" ref="U30">Comm_CB(U11,U26,U27,U12,U13,U10/U18)</f>
        <v>23</v>
      </c>
      <c r="V30" s="1" cm="1">
        <f t="array" ref="V30">Comm_CB(V11,V26,V27,V12,V13,V10/V18)</f>
        <v>23</v>
      </c>
      <c r="W30" s="1" cm="1">
        <f t="array" ref="W30">Comm_CB(W11,W26,W27,W12,W13,W10/W18)</f>
        <v>23</v>
      </c>
      <c r="X30" s="1" cm="1">
        <f t="array" ref="X30">Comm_CB(X11,X26,X27,X12,X13,X10/X18)</f>
        <v>23</v>
      </c>
      <c r="Y30" s="1" cm="1">
        <f t="array" ref="Y30">Comm_CB(Y11,Y26,Y27,Y12,Y13,Y10/Y18)</f>
        <v>23</v>
      </c>
      <c r="Z30" s="28" cm="1">
        <f t="array" ref="Z30">Comm_CB(Z11,Z26,Z27,Z12,Z13,Z10/Z18)</f>
        <v>12</v>
      </c>
      <c r="AA30" s="1" cm="1">
        <f t="array" ref="AA30">Comm_CB(AA11,AA26,AA27,AA12,AA13,AA10/AA18)</f>
        <v>12</v>
      </c>
      <c r="AB30" s="1" cm="1">
        <f t="array" ref="AB30">Comm_CB(AB11,AB26,AB27,AB12,AB13,AB10/AB18)</f>
        <v>12</v>
      </c>
      <c r="AC30" s="1" cm="1">
        <f t="array" ref="AC30">Comm_CB(AC11,AC26,AC27,AC12,AC13,AC10/AC18)</f>
        <v>12</v>
      </c>
      <c r="AD30" s="1" cm="1">
        <f t="array" ref="AD30">Comm_CB(AD11,AD26,AD27,AD12,AD13,AD10/AD18)</f>
        <v>12</v>
      </c>
      <c r="AE30" s="1" cm="1">
        <f t="array" ref="AE30">Comm_CB(AE11,AE26,AE27,AE12,AE13,AE10/AE18)</f>
        <v>12</v>
      </c>
      <c r="AF30" s="28" cm="1">
        <f t="array" ref="AF30">Comm_CB(AF11,AF26,AF27,AF12,AF13,AF10/AF18)</f>
        <v>15</v>
      </c>
      <c r="AG30" s="1" cm="1">
        <f t="array" ref="AG30">Comm_CB(AG11,AG26,AG27,AG12,AG13,AG10/AG18)</f>
        <v>5</v>
      </c>
      <c r="AH30" s="11" cm="1">
        <f t="array" ref="AH30">Comm_CB(AH11,AH26,AH27,AH12,AH13,AH10/AH18)</f>
        <v>1</v>
      </c>
      <c r="AI30" s="28" cm="1">
        <f t="array" ref="AI30">Comm_CB(AI11,AI26,AI27,AI12,AI13,AI10/AI18)</f>
        <v>8</v>
      </c>
      <c r="AJ30" s="1" cm="1">
        <f t="array" ref="AJ30">Comm_CB(AJ11,AJ26,AJ27,AJ12,AJ13,AJ10/AJ18)</f>
        <v>8</v>
      </c>
      <c r="AK30" s="1" cm="1">
        <f t="array" ref="AK30">Comm_CB(AK11,AK26,AK27,AK12,AK13,AK10/AK18)</f>
        <v>1</v>
      </c>
      <c r="AL30" s="1" cm="1">
        <f t="array" ref="AL30">Comm_CB(AL11,AL26,AL27,AL12,AL13,AL10/AL18)</f>
        <v>1</v>
      </c>
      <c r="AM30" s="1" cm="1">
        <f t="array" ref="AM30">Comm_CB(AM11,AM26,AM27,AM12,AM13,AM10/AM18)</f>
        <v>1</v>
      </c>
      <c r="AN30" s="1" cm="1">
        <f t="array" ref="AN30">Comm_CB(AN11,AN26,AN27,AN12,AN13,AN10/AN18)</f>
        <v>2</v>
      </c>
      <c r="AO30" s="11" cm="1">
        <f t="array" ref="AO30">Comm_CB(AO11,AO26,AO27,AO12,AO13,AO10/AO18)</f>
        <v>1</v>
      </c>
      <c r="AP30" s="28" cm="1">
        <f t="array" ref="AP30">Comm_CB(AP11,AP26,AP27,AP12,AP13,AP10/AP18)</f>
        <v>5</v>
      </c>
      <c r="AQ30" s="1" cm="1">
        <f t="array" ref="AQ30">Comm_CB(AQ11,AQ26,AQ27,AQ12,AQ13,AQ10/AQ18)</f>
        <v>5</v>
      </c>
      <c r="AR30" s="1" cm="1">
        <f t="array" ref="AR30">Comm_CB(AR11,AR26,AR27,AR12,AR13,AR10/AR18)</f>
        <v>5</v>
      </c>
      <c r="AS30" s="1" cm="1">
        <f t="array" ref="AS30">Comm_CB(AS11,AS26,AS27,AS12,AS13,AS10/AS18)</f>
        <v>5</v>
      </c>
      <c r="AT30" s="1" cm="1">
        <f t="array" ref="AT30">Comm_CB(AT11,AT26,AT27,AT12,AT13,AT10/AT18)</f>
        <v>5</v>
      </c>
      <c r="AU30" s="1" cm="1">
        <f t="array" ref="AU30">Comm_CB(AU11,AU26,AU27,AU12,AU13,AU10/AU18)</f>
        <v>5</v>
      </c>
      <c r="AV30" s="1" cm="1">
        <f t="array" ref="AV30">Comm_CB(AV11,AV26,AV27,AV12,AV13,AV10/AV18)</f>
        <v>5</v>
      </c>
      <c r="AW30" s="1" cm="1">
        <f t="array" ref="AW30">Comm_CB(AW11,AW26,AW27,AW12,AW13,AW10/AW18)</f>
        <v>5</v>
      </c>
      <c r="AX30" s="1" cm="1">
        <f t="array" ref="AX30">Comm_CB(AX11,AX26,AX27,AX12,AX13,AX10/AX18)</f>
        <v>5</v>
      </c>
      <c r="AY30" s="1" cm="1">
        <f t="array" ref="AY30">Comm_CB(AY11,AY26,AY27,AY12,AY13,AY10/AY18)</f>
        <v>5</v>
      </c>
      <c r="AZ30" s="1" cm="1">
        <f t="array" ref="AZ30">Comm_CB(AZ11,AZ26,AZ27,AZ12,AZ13,AZ10/AZ18)</f>
        <v>5</v>
      </c>
      <c r="BA30" s="1" cm="1">
        <f t="array" ref="BA30">Comm_CB(BA11,BA26,BA27,BA12,BA13,BA10/BA18)</f>
        <v>5</v>
      </c>
      <c r="BB30" s="1" cm="1">
        <f t="array" ref="BB30">Comm_CB(BB11,BB26,BB27,BB12,BB13,BB10/BB18)</f>
        <v>5</v>
      </c>
      <c r="BC30" s="1" cm="1">
        <f t="array" ref="BC30">Comm_CB(BC11,BC26,BC27,BC12,BC13,BC10/BC18)</f>
        <v>5</v>
      </c>
      <c r="BD30" s="1" cm="1">
        <f t="array" ref="BD30">Comm_CB(BD11,BD26,BD27,BD12,BD13,BD10/BD18)</f>
        <v>5</v>
      </c>
      <c r="BE30" s="11" cm="1">
        <f t="array" ref="BE30">Comm_CB(BE11,BE26,BE27,BE12,BE13,BE10/BE18)</f>
        <v>5</v>
      </c>
      <c r="BF30" s="28" cm="1">
        <f t="array" ref="BF30">Comm_CB(BF11,BF26,BF27,BF12,BF13,BF10/BF18)</f>
        <v>5</v>
      </c>
      <c r="BG30" s="1" cm="1">
        <f t="array" ref="BG30">Comm_CB(BG11,BG26,BG27,BG12,BG13,BG10/BG18)</f>
        <v>5</v>
      </c>
      <c r="BH30" s="1" cm="1">
        <f t="array" ref="BH30">Comm_CB(BH11,BH26,BH27,BH12,BH13,BH10/BH18)</f>
        <v>5</v>
      </c>
      <c r="BI30" s="1" cm="1">
        <f t="array" ref="BI30">Comm_CB(BI11,BI26,BI27,BI12,BI13,BI10/BI18)</f>
        <v>5</v>
      </c>
      <c r="BJ30" s="1" cm="1">
        <f t="array" ref="BJ30">Comm_CB(BJ11,BJ26,BJ27,BJ12,BJ13,BJ10/BJ18)</f>
        <v>5</v>
      </c>
      <c r="BK30" s="1" cm="1">
        <f t="array" ref="BK30">Comm_CB(BK11,BK26,BK27,BK12,BK13,BK10/BK18)</f>
        <v>5</v>
      </c>
      <c r="BL30" s="28" cm="1">
        <f t="array" ref="BL30">Comm_CB(BL11,BL26,BL27,BL12,BL13,BL10/BL18)</f>
        <v>3</v>
      </c>
      <c r="BM30" s="1" cm="1">
        <f t="array" ref="BM30">Comm_CB(BM11,BM26,BM27,BM12,BM13,BM10/BM18)</f>
        <v>3</v>
      </c>
      <c r="BN30" s="1" cm="1">
        <f t="array" ref="BN30">Comm_CB(BN11,BN26,BN27,BN12,BN13,BN10/BN18)</f>
        <v>3</v>
      </c>
      <c r="BO30" s="1" cm="1">
        <f t="array" ref="BO30">Comm_CB(BO11,BO26,BO27,BO12,BO13,BO10/BO18)</f>
        <v>3</v>
      </c>
      <c r="BP30" s="1" cm="1">
        <f t="array" ref="BP30">Comm_CB(BP11,BP26,BP27,BP12,BP13,BP10/BP18)</f>
        <v>3</v>
      </c>
      <c r="BQ30" s="1" cm="1">
        <f t="array" ref="BQ30">Comm_CB(BQ11,BQ26,BQ27,BQ12,BQ13,BQ10/BQ18)</f>
        <v>3</v>
      </c>
    </row>
    <row r="31" spans="2:69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1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1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12" cm="1">
        <f t="array" ref="S31">Comm_Parity_Nodes(S11,S26,S27,S12,S13,S10/S18)</f>
        <v>4</v>
      </c>
      <c r="T31" s="30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1" cm="1">
        <f t="array" ref="V31">Comm_Parity_Nodes(V11,V26,V27,V12,V13,V10/V18)</f>
        <v>4</v>
      </c>
      <c r="W31" s="31" cm="1">
        <f t="array" ref="W31">Comm_Parity_Nodes(W11,W26,W27,W12,W13,W10/W18)</f>
        <v>4</v>
      </c>
      <c r="X31" s="31" cm="1">
        <f t="array" ref="X31">Comm_Parity_Nodes(X11,X26,X27,X12,X13,X10/X18)</f>
        <v>4</v>
      </c>
      <c r="Y31" s="31" cm="1">
        <f t="array" ref="Y31">Comm_Parity_Nodes(Y11,Y26,Y27,Y12,Y13,Y10/Y18)</f>
        <v>4</v>
      </c>
      <c r="Z31" s="30" cm="1">
        <f t="array" ref="Z31">Comm_Parity_Nodes(Z11,Z26,Z27,Z12,Z13,Z10/Z18)</f>
        <v>4</v>
      </c>
      <c r="AA31" s="31" cm="1">
        <f t="array" ref="AA31">Comm_Parity_Nodes(AA11,AA26,AA27,AA12,AA13,AA10/AA18)</f>
        <v>4</v>
      </c>
      <c r="AB31" s="31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31" cm="1">
        <f t="array" ref="AE31">Comm_Parity_Nodes(AE11,AE26,AE27,AE12,AE13,AE10/AE18)</f>
        <v>4</v>
      </c>
      <c r="AF31" s="30" cm="1">
        <f t="array" ref="AF31">Comm_Parity_Nodes(AF11,AF26,AF27,AF12,AF13,AF10/AF18)</f>
        <v>7</v>
      </c>
      <c r="AG31" s="31" cm="1">
        <f t="array" ref="AG31">Comm_Parity_Nodes(AG11,AG26,AG27,AG12,AG13,AG10/AG18)</f>
        <v>20</v>
      </c>
      <c r="AH31" s="12" cm="1">
        <f t="array" ref="AH31">Comm_Parity_Nodes(AH11,AH26,AH27,AH12,AH13,AH10/AH18)</f>
        <v>25</v>
      </c>
      <c r="AI31" s="30" cm="1">
        <f t="array" ref="AI31">Comm_Parity_Nodes(AI11,AI26,AI27,AI12,AI13,AI10/AI18)</f>
        <v>7</v>
      </c>
      <c r="AJ31" s="31" cm="1">
        <f t="array" ref="AJ31">Comm_Parity_Nodes(AJ11,AJ26,AJ27,AJ12,AJ13,AJ10/AJ18)</f>
        <v>7</v>
      </c>
      <c r="AK31" s="31" cm="1">
        <f t="array" ref="AK31">Comm_Parity_Nodes(AK11,AK26,AK27,AK12,AK13,AK10/AK18)</f>
        <v>20</v>
      </c>
      <c r="AL31" s="31" cm="1">
        <f t="array" ref="AL31">Comm_Parity_Nodes(AL11,AL26,AL27,AL12,AL13,AL10/AL18)</f>
        <v>20</v>
      </c>
      <c r="AM31" s="31" cm="1">
        <f t="array" ref="AM31">Comm_Parity_Nodes(AM11,AM26,AM27,AM12,AM13,AM10/AM18)</f>
        <v>20</v>
      </c>
      <c r="AN31" s="31" cm="1">
        <f t="array" ref="AN31">Comm_Parity_Nodes(AN11,AN26,AN27,AN12,AN13,AN10/AN18)</f>
        <v>20</v>
      </c>
      <c r="AO31" s="12" cm="1">
        <f t="array" ref="AO31">Comm_Parity_Nodes(AO11,AO26,AO27,AO12,AO13,AO10/AO18)</f>
        <v>25</v>
      </c>
      <c r="AP31" s="30" cm="1">
        <f t="array" ref="AP31">Comm_Parity_Nodes(AP11,AP26,AP27,AP12,AP13,AP10/AP18)</f>
        <v>4</v>
      </c>
      <c r="AQ31" s="31" cm="1">
        <f t="array" ref="AQ31">Comm_Parity_Nodes(AQ11,AQ26,AQ27,AQ12,AQ13,AQ10/AQ18)</f>
        <v>4</v>
      </c>
      <c r="AR31" s="31" cm="1">
        <f t="array" ref="AR31">Comm_Parity_Nodes(AR11,AR26,AR27,AR12,AR13,AR10/AR18)</f>
        <v>4</v>
      </c>
      <c r="AS31" s="31" cm="1">
        <f t="array" ref="AS31">Comm_Parity_Nodes(AS11,AS26,AS27,AS12,AS13,AS10/AS18)</f>
        <v>4</v>
      </c>
      <c r="AT31" s="31" cm="1">
        <f t="array" ref="AT31">Comm_Parity_Nodes(AT11,AT26,AT27,AT12,AT13,AT10/AT18)</f>
        <v>4</v>
      </c>
      <c r="AU31" s="31" cm="1">
        <f t="array" ref="AU31">Comm_Parity_Nodes(AU11,AU26,AU27,AU12,AU13,AU10/AU18)</f>
        <v>4</v>
      </c>
      <c r="AV31" s="31" cm="1">
        <f t="array" ref="AV31">Comm_Parity_Nodes(AV11,AV26,AV27,AV12,AV13,AV10/AV18)</f>
        <v>4</v>
      </c>
      <c r="AW31" s="31" cm="1">
        <f t="array" ref="AW31">Comm_Parity_Nodes(AW11,AW26,AW27,AW12,AW13,AW10/AW18)</f>
        <v>4</v>
      </c>
      <c r="AX31" s="31" cm="1">
        <f t="array" ref="AX31">Comm_Parity_Nodes(AX11,AX26,AX27,AX12,AX13,AX10/AX18)</f>
        <v>4</v>
      </c>
      <c r="AY31" s="31" cm="1">
        <f t="array" ref="AY31">Comm_Parity_Nodes(AY11,AY26,AY27,AY12,AY13,AY10/AY18)</f>
        <v>4</v>
      </c>
      <c r="AZ31" s="31" cm="1">
        <f t="array" ref="AZ31">Comm_Parity_Nodes(AZ11,AZ26,AZ27,AZ12,AZ13,AZ10/AZ18)</f>
        <v>4</v>
      </c>
      <c r="BA31" s="31" cm="1">
        <f t="array" ref="BA31">Comm_Parity_Nodes(BA11,BA26,BA27,BA12,BA13,BA10/BA18)</f>
        <v>4</v>
      </c>
      <c r="BB31" s="31" cm="1">
        <f t="array" ref="BB31">Comm_Parity_Nodes(BB11,BB26,BB27,BB12,BB13,BB10/BB18)</f>
        <v>4</v>
      </c>
      <c r="BC31" s="31" cm="1">
        <f t="array" ref="BC31">Comm_Parity_Nodes(BC11,BC26,BC27,BC12,BC13,BC10/BC18)</f>
        <v>4</v>
      </c>
      <c r="BD31" s="31" cm="1">
        <f t="array" ref="BD31">Comm_Parity_Nodes(BD11,BD26,BD27,BD12,BD13,BD10/BD18)</f>
        <v>4</v>
      </c>
      <c r="BE31" s="12" cm="1">
        <f t="array" ref="BE31">Comm_Parity_Nodes(BE11,BE26,BE27,BE12,BE13,BE10/BE18)</f>
        <v>4</v>
      </c>
      <c r="BF31" s="30" cm="1">
        <f t="array" ref="BF31">Comm_Parity_Nodes(BF11,BF26,BF27,BF12,BF13,BF10/BF18)</f>
        <v>4</v>
      </c>
      <c r="BG31" s="31" cm="1">
        <f t="array" ref="BG31">Comm_Parity_Nodes(BG11,BG26,BG27,BG12,BG13,BG10/BG18)</f>
        <v>4</v>
      </c>
      <c r="BH31" s="31" cm="1">
        <f t="array" ref="BH31">Comm_Parity_Nodes(BH11,BH26,BH27,BH12,BH13,BH10/BH18)</f>
        <v>4</v>
      </c>
      <c r="BI31" s="31" cm="1">
        <f t="array" ref="BI31">Comm_Parity_Nodes(BI11,BI26,BI27,BI12,BI13,BI10/BI18)</f>
        <v>4</v>
      </c>
      <c r="BJ31" s="31" cm="1">
        <f t="array" ref="BJ31">Comm_Parity_Nodes(BJ11,BJ26,BJ27,BJ12,BJ13,BJ10/BJ18)</f>
        <v>4</v>
      </c>
      <c r="BK31" s="31" cm="1">
        <f t="array" ref="BK31">Comm_Parity_Nodes(BK11,BK26,BK27,BK12,BK13,BK10/BK18)</f>
        <v>4</v>
      </c>
      <c r="BL31" s="30" cm="1">
        <f t="array" ref="BL31">Comm_Parity_Nodes(BL11,BL26,BL27,BL12,BL13,BL10/BL18)</f>
        <v>4</v>
      </c>
      <c r="BM31" s="31" cm="1">
        <f t="array" ref="BM31">Comm_Parity_Nodes(BM11,BM26,BM27,BM12,BM13,BM10/BM18)</f>
        <v>4</v>
      </c>
      <c r="BN31" s="31" cm="1">
        <f t="array" ref="BN31">Comm_Parity_Nodes(BN11,BN26,BN27,BN12,BN13,BN10/BN18)</f>
        <v>4</v>
      </c>
      <c r="BO31" s="31" cm="1">
        <f t="array" ref="BO31">Comm_Parity_Nodes(BO11,BO26,BO27,BO12,BO13,BO10/BO18)</f>
        <v>4</v>
      </c>
      <c r="BP31" s="31" cm="1">
        <f t="array" ref="BP31">Comm_Parity_Nodes(BP11,BP26,BP27,BP12,BP13,BP10/BP18)</f>
        <v>4</v>
      </c>
      <c r="BQ31" s="31" cm="1">
        <f t="array" ref="BQ31">Comm_Parity_Nodes(BQ11,BQ26,BQ27,BQ12,BQ13,BQ10/BQ18)</f>
        <v>4</v>
      </c>
    </row>
    <row r="32" spans="2:69" x14ac:dyDescent="0.35">
      <c r="B32" s="6" t="s">
        <v>35</v>
      </c>
      <c r="D32" s="29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6"/>
      <c r="T32" s="29"/>
      <c r="U32" s="17"/>
      <c r="V32" s="17"/>
      <c r="W32" s="17"/>
      <c r="X32" s="17"/>
      <c r="Y32" s="17"/>
      <c r="Z32" s="29"/>
      <c r="AA32" s="17"/>
      <c r="AB32" s="17"/>
      <c r="AC32" s="17"/>
      <c r="AD32" s="17"/>
      <c r="AE32" s="17"/>
      <c r="AF32" s="37"/>
      <c r="AG32" s="18"/>
      <c r="AH32" s="13"/>
      <c r="AI32" s="37"/>
      <c r="AJ32" s="18"/>
      <c r="AK32" s="18"/>
      <c r="AL32" s="18"/>
      <c r="AM32" s="18"/>
      <c r="AN32" s="18"/>
      <c r="AO32" s="13"/>
      <c r="AP32" s="29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6"/>
      <c r="BF32" s="29"/>
      <c r="BG32" s="17"/>
      <c r="BH32" s="17"/>
      <c r="BI32" s="17"/>
      <c r="BJ32" s="17"/>
      <c r="BK32" s="17"/>
      <c r="BL32" s="29"/>
      <c r="BM32" s="17"/>
      <c r="BN32" s="17"/>
      <c r="BO32" s="17"/>
      <c r="BP32" s="17"/>
      <c r="BQ32" s="17"/>
    </row>
    <row r="33" spans="2:69" x14ac:dyDescent="0.35">
      <c r="B33" s="9" t="s">
        <v>36</v>
      </c>
      <c r="D33" s="26"/>
      <c r="S33" s="19"/>
      <c r="T33" s="26"/>
      <c r="Z33" s="26"/>
      <c r="AF33" s="26"/>
      <c r="AH33" s="19"/>
      <c r="AI33" s="26"/>
      <c r="AO33" s="19"/>
      <c r="AP33" s="26"/>
      <c r="BE33" s="19"/>
      <c r="BF33" s="26"/>
      <c r="BL33" s="26"/>
    </row>
    <row r="34" spans="2:69" ht="15" thickBot="1" x14ac:dyDescent="0.4">
      <c r="B34" s="9" t="s">
        <v>56</v>
      </c>
      <c r="D34" s="38">
        <f>SUMPRODUCT(D18:S18, D29:S29) * 4  / 5 / 0.5/1000/1000</f>
        <v>1.8352128000000001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3"/>
      <c r="T34" s="38">
        <f>SUMPRODUCT(T18:Y18, T29:Y29) * 4  / 5 / 0.5/1000/1000</f>
        <v>1.8491903999999999</v>
      </c>
      <c r="U34" s="32"/>
      <c r="V34" s="32"/>
      <c r="W34" s="32"/>
      <c r="X34" s="32"/>
      <c r="Y34" s="32"/>
      <c r="Z34" s="38">
        <f>SUMPRODUCT(Z18:AE18, Z29:AE29) * 4  / 5 / 0.5/1000/1000</f>
        <v>0.90478080000000005</v>
      </c>
      <c r="AA34" s="32"/>
      <c r="AB34" s="32"/>
      <c r="AC34" s="32"/>
      <c r="AD34" s="32"/>
      <c r="AE34" s="32"/>
      <c r="AF34" s="38">
        <f>SUMPRODUCT(AF18:AH18,AF29:AH29) * 4 / 5 / 0.5/1000/1000</f>
        <v>0.26457600000000003</v>
      </c>
      <c r="AG34" s="32"/>
      <c r="AH34" s="33"/>
      <c r="AI34" s="38">
        <f>SUMPRODUCT(AI18:AO18,AI29:AO29) * 4 / 5 / 0.5/1000/1000</f>
        <v>0.26535679999999995</v>
      </c>
      <c r="AJ34" s="32"/>
      <c r="AK34" s="32"/>
      <c r="AL34" s="32"/>
      <c r="AM34" s="32"/>
      <c r="AN34" s="32"/>
      <c r="AO34" s="33"/>
      <c r="AP34" s="38">
        <f>SUMPRODUCT(AP18:BE18, AP29:BE29) * 4  / 5 / 0.5/1000/1000</f>
        <v>0.86568959999999995</v>
      </c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3"/>
      <c r="BF34" s="38">
        <f>SUMPRODUCT(BF18:BK18, BF29:BK29) * 4  / 5 / 0.5/1000/1000</f>
        <v>0.32463360000000002</v>
      </c>
      <c r="BG34" s="32"/>
      <c r="BH34" s="32"/>
      <c r="BI34" s="32"/>
      <c r="BJ34" s="32"/>
      <c r="BK34" s="32"/>
      <c r="BL34" s="38">
        <f>SUMPRODUCT(BL18:BQ18, BL29:BQ29) * 4  / 5 / 0.5/1000/1000</f>
        <v>0.1622016</v>
      </c>
      <c r="BM34" s="32"/>
      <c r="BN34" s="32"/>
      <c r="BO34" s="32"/>
      <c r="BP34" s="32"/>
      <c r="BQ34" s="32"/>
    </row>
    <row r="36" spans="2:69" x14ac:dyDescent="0.3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5" type="noConversion"/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E8650-7735-40C5-8095-958180C0A87E}">
  <dimension ref="B1:BI34"/>
  <sheetViews>
    <sheetView topLeftCell="AR1" zoomScale="85" zoomScaleNormal="85" workbookViewId="0">
      <selection activeCell="AT34" sqref="AT3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61" ht="15" thickBot="1" x14ac:dyDescent="0.4"/>
    <row r="2" spans="2:61" x14ac:dyDescent="0.35">
      <c r="B2" s="2" t="s">
        <v>0</v>
      </c>
      <c r="C2" s="1"/>
      <c r="D2" s="21" t="s">
        <v>45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3"/>
      <c r="T2" s="21" t="s">
        <v>80</v>
      </c>
      <c r="U2" s="22"/>
      <c r="V2" s="22"/>
      <c r="W2" s="22"/>
      <c r="X2" s="22"/>
      <c r="Y2" s="45"/>
      <c r="Z2" s="21" t="s">
        <v>81</v>
      </c>
      <c r="AA2" s="22"/>
      <c r="AB2" s="22"/>
      <c r="AC2" s="22"/>
      <c r="AD2" s="22"/>
      <c r="AE2" s="45"/>
      <c r="AF2" s="21" t="s">
        <v>46</v>
      </c>
      <c r="AG2" s="24"/>
      <c r="AH2" s="25"/>
      <c r="AI2" s="21" t="s">
        <v>47</v>
      </c>
      <c r="AJ2" s="24"/>
      <c r="AK2" s="24"/>
      <c r="AL2" s="24"/>
      <c r="AM2" s="24"/>
      <c r="AN2" s="24"/>
      <c r="AO2" s="24"/>
      <c r="AP2" s="24"/>
      <c r="AQ2" s="24"/>
      <c r="AR2" s="24"/>
      <c r="AS2" s="25"/>
      <c r="AT2" s="21" t="s">
        <v>58</v>
      </c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3"/>
    </row>
    <row r="3" spans="2:61" x14ac:dyDescent="0.35">
      <c r="B3" s="3" t="s">
        <v>3</v>
      </c>
      <c r="C3" s="1"/>
      <c r="D3" s="26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 s="19">
        <v>100</v>
      </c>
      <c r="T3" s="26">
        <v>100</v>
      </c>
      <c r="U3">
        <v>100</v>
      </c>
      <c r="V3">
        <v>100</v>
      </c>
      <c r="W3">
        <v>100</v>
      </c>
      <c r="X3">
        <v>100</v>
      </c>
      <c r="Y3" s="46">
        <v>100</v>
      </c>
      <c r="Z3" s="26">
        <v>100</v>
      </c>
      <c r="AA3">
        <v>100</v>
      </c>
      <c r="AB3">
        <v>100</v>
      </c>
      <c r="AC3">
        <v>100</v>
      </c>
      <c r="AD3">
        <v>100</v>
      </c>
      <c r="AE3" s="46">
        <v>100</v>
      </c>
      <c r="AF3" s="26">
        <v>100</v>
      </c>
      <c r="AG3">
        <v>100</v>
      </c>
      <c r="AH3" s="19">
        <v>100</v>
      </c>
      <c r="AI3" s="26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 s="19">
        <v>100</v>
      </c>
      <c r="AT3" s="26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 s="19">
        <v>100</v>
      </c>
    </row>
    <row r="4" spans="2:61" x14ac:dyDescent="0.35">
      <c r="B4" s="3" t="s">
        <v>4</v>
      </c>
      <c r="C4" s="1"/>
      <c r="D4" s="26">
        <v>273</v>
      </c>
      <c r="E4">
        <v>273</v>
      </c>
      <c r="F4">
        <v>273</v>
      </c>
      <c r="G4">
        <v>273</v>
      </c>
      <c r="H4">
        <v>273</v>
      </c>
      <c r="I4">
        <v>273</v>
      </c>
      <c r="J4">
        <v>273</v>
      </c>
      <c r="K4">
        <v>273</v>
      </c>
      <c r="L4">
        <v>273</v>
      </c>
      <c r="M4">
        <v>273</v>
      </c>
      <c r="N4">
        <v>273</v>
      </c>
      <c r="O4">
        <v>273</v>
      </c>
      <c r="P4">
        <v>273</v>
      </c>
      <c r="Q4">
        <v>273</v>
      </c>
      <c r="R4">
        <v>273</v>
      </c>
      <c r="S4" s="19">
        <v>273</v>
      </c>
      <c r="T4" s="26">
        <v>273</v>
      </c>
      <c r="U4">
        <v>273</v>
      </c>
      <c r="V4">
        <v>273</v>
      </c>
      <c r="W4">
        <v>273</v>
      </c>
      <c r="X4">
        <v>273</v>
      </c>
      <c r="Y4" s="46">
        <v>273</v>
      </c>
      <c r="Z4" s="26">
        <v>273</v>
      </c>
      <c r="AA4">
        <v>273</v>
      </c>
      <c r="AB4">
        <v>273</v>
      </c>
      <c r="AC4">
        <v>273</v>
      </c>
      <c r="AD4">
        <v>273</v>
      </c>
      <c r="AE4" s="46">
        <v>273</v>
      </c>
      <c r="AF4" s="26">
        <v>272</v>
      </c>
      <c r="AG4">
        <v>272</v>
      </c>
      <c r="AH4" s="19">
        <v>272</v>
      </c>
      <c r="AI4" s="26">
        <v>272</v>
      </c>
      <c r="AJ4">
        <v>272</v>
      </c>
      <c r="AK4">
        <v>272</v>
      </c>
      <c r="AL4">
        <v>272</v>
      </c>
      <c r="AM4">
        <v>272</v>
      </c>
      <c r="AN4">
        <v>272</v>
      </c>
      <c r="AO4">
        <v>272</v>
      </c>
      <c r="AP4">
        <v>272</v>
      </c>
      <c r="AQ4">
        <v>272</v>
      </c>
      <c r="AR4">
        <v>272</v>
      </c>
      <c r="AS4" s="19">
        <v>272</v>
      </c>
      <c r="AT4" s="26">
        <v>273</v>
      </c>
      <c r="AU4">
        <v>273</v>
      </c>
      <c r="AV4">
        <v>273</v>
      </c>
      <c r="AW4">
        <v>273</v>
      </c>
      <c r="AX4">
        <v>273</v>
      </c>
      <c r="AY4">
        <v>273</v>
      </c>
      <c r="AZ4">
        <v>273</v>
      </c>
      <c r="BA4">
        <v>273</v>
      </c>
      <c r="BB4">
        <v>273</v>
      </c>
      <c r="BC4">
        <v>273</v>
      </c>
      <c r="BD4">
        <v>273</v>
      </c>
      <c r="BE4">
        <v>273</v>
      </c>
      <c r="BF4">
        <v>273</v>
      </c>
      <c r="BG4">
        <v>273</v>
      </c>
      <c r="BH4">
        <v>273</v>
      </c>
      <c r="BI4" s="19">
        <v>273</v>
      </c>
    </row>
    <row r="5" spans="2:61" x14ac:dyDescent="0.35">
      <c r="B5" s="3" t="s">
        <v>5</v>
      </c>
      <c r="D5" s="26">
        <v>272</v>
      </c>
      <c r="E5">
        <v>272</v>
      </c>
      <c r="F5">
        <v>272</v>
      </c>
      <c r="G5">
        <v>272</v>
      </c>
      <c r="H5">
        <v>272</v>
      </c>
      <c r="I5">
        <v>272</v>
      </c>
      <c r="J5">
        <v>272</v>
      </c>
      <c r="K5">
        <v>272</v>
      </c>
      <c r="L5">
        <v>272</v>
      </c>
      <c r="M5">
        <v>272</v>
      </c>
      <c r="N5">
        <v>272</v>
      </c>
      <c r="O5">
        <v>272</v>
      </c>
      <c r="P5">
        <v>272</v>
      </c>
      <c r="Q5">
        <v>272</v>
      </c>
      <c r="R5">
        <v>272</v>
      </c>
      <c r="S5" s="19">
        <v>272</v>
      </c>
      <c r="T5" s="26">
        <v>272</v>
      </c>
      <c r="U5">
        <v>272</v>
      </c>
      <c r="V5">
        <v>272</v>
      </c>
      <c r="W5">
        <v>272</v>
      </c>
      <c r="X5">
        <v>272</v>
      </c>
      <c r="Y5" s="46">
        <v>272</v>
      </c>
      <c r="Z5" s="26">
        <v>272</v>
      </c>
      <c r="AA5">
        <v>272</v>
      </c>
      <c r="AB5">
        <v>272</v>
      </c>
      <c r="AC5">
        <v>272</v>
      </c>
      <c r="AD5">
        <v>272</v>
      </c>
      <c r="AE5" s="46">
        <v>272</v>
      </c>
      <c r="AF5" s="26">
        <v>96</v>
      </c>
      <c r="AG5">
        <v>96</v>
      </c>
      <c r="AH5" s="19">
        <v>96</v>
      </c>
      <c r="AI5" s="26">
        <v>96</v>
      </c>
      <c r="AJ5">
        <v>96</v>
      </c>
      <c r="AK5">
        <v>96</v>
      </c>
      <c r="AL5">
        <v>96</v>
      </c>
      <c r="AM5">
        <v>96</v>
      </c>
      <c r="AN5">
        <v>96</v>
      </c>
      <c r="AO5">
        <v>96</v>
      </c>
      <c r="AP5">
        <v>96</v>
      </c>
      <c r="AQ5">
        <v>96</v>
      </c>
      <c r="AR5">
        <v>96</v>
      </c>
      <c r="AS5" s="19">
        <v>96</v>
      </c>
      <c r="AT5" s="26">
        <v>272</v>
      </c>
      <c r="AU5">
        <v>272</v>
      </c>
      <c r="AV5">
        <v>272</v>
      </c>
      <c r="AW5">
        <v>272</v>
      </c>
      <c r="AX5">
        <v>272</v>
      </c>
      <c r="AY5">
        <v>272</v>
      </c>
      <c r="AZ5">
        <v>272</v>
      </c>
      <c r="BA5">
        <v>272</v>
      </c>
      <c r="BB5">
        <v>272</v>
      </c>
      <c r="BC5">
        <v>272</v>
      </c>
      <c r="BD5">
        <v>272</v>
      </c>
      <c r="BE5">
        <v>272</v>
      </c>
      <c r="BF5">
        <v>272</v>
      </c>
      <c r="BG5">
        <v>272</v>
      </c>
      <c r="BH5">
        <v>272</v>
      </c>
      <c r="BI5" s="19">
        <v>272</v>
      </c>
    </row>
    <row r="6" spans="2:61" x14ac:dyDescent="0.35">
      <c r="B6" s="3" t="s">
        <v>6</v>
      </c>
      <c r="C6" s="1"/>
      <c r="D6" s="28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  <c r="N6" s="1">
        <v>11</v>
      </c>
      <c r="O6" s="1">
        <v>12</v>
      </c>
      <c r="P6" s="1">
        <v>13</v>
      </c>
      <c r="Q6" s="1">
        <v>14</v>
      </c>
      <c r="R6" s="1">
        <v>15</v>
      </c>
      <c r="S6" s="11">
        <v>16</v>
      </c>
      <c r="T6" s="28">
        <v>1</v>
      </c>
      <c r="U6" s="1">
        <v>2</v>
      </c>
      <c r="V6" s="1">
        <v>3</v>
      </c>
      <c r="W6" s="1">
        <v>4</v>
      </c>
      <c r="X6" s="1">
        <v>5</v>
      </c>
      <c r="Y6" s="47">
        <v>6</v>
      </c>
      <c r="Z6" s="28">
        <v>1</v>
      </c>
      <c r="AA6" s="1">
        <v>2</v>
      </c>
      <c r="AB6" s="1">
        <v>3</v>
      </c>
      <c r="AC6" s="1">
        <v>4</v>
      </c>
      <c r="AD6" s="1">
        <v>5</v>
      </c>
      <c r="AE6" s="47">
        <v>6</v>
      </c>
      <c r="AF6" s="26">
        <v>1</v>
      </c>
      <c r="AG6">
        <v>2</v>
      </c>
      <c r="AH6" s="19">
        <v>3</v>
      </c>
      <c r="AI6" s="26">
        <v>1</v>
      </c>
      <c r="AJ6">
        <v>2</v>
      </c>
      <c r="AK6">
        <v>3</v>
      </c>
      <c r="AL6">
        <v>4</v>
      </c>
      <c r="AM6">
        <v>5</v>
      </c>
      <c r="AN6">
        <v>6</v>
      </c>
      <c r="AO6">
        <v>7</v>
      </c>
      <c r="AP6">
        <v>8</v>
      </c>
      <c r="AQ6">
        <v>9</v>
      </c>
      <c r="AR6">
        <v>10</v>
      </c>
      <c r="AS6" s="19">
        <v>11</v>
      </c>
      <c r="AT6" s="28">
        <v>1</v>
      </c>
      <c r="AU6" s="1">
        <v>2</v>
      </c>
      <c r="AV6" s="1">
        <v>3</v>
      </c>
      <c r="AW6" s="1">
        <v>4</v>
      </c>
      <c r="AX6" s="1">
        <v>5</v>
      </c>
      <c r="AY6" s="1">
        <v>6</v>
      </c>
      <c r="AZ6" s="1">
        <v>7</v>
      </c>
      <c r="BA6" s="1">
        <v>8</v>
      </c>
      <c r="BB6" s="1">
        <v>9</v>
      </c>
      <c r="BC6" s="1">
        <v>10</v>
      </c>
      <c r="BD6" s="1">
        <v>11</v>
      </c>
      <c r="BE6" s="1">
        <v>12</v>
      </c>
      <c r="BF6" s="1">
        <v>13</v>
      </c>
      <c r="BG6" s="1">
        <v>14</v>
      </c>
      <c r="BH6" s="1">
        <v>15</v>
      </c>
      <c r="BI6" s="11">
        <v>16</v>
      </c>
    </row>
    <row r="7" spans="2:61" x14ac:dyDescent="0.35">
      <c r="B7" s="3" t="s">
        <v>7</v>
      </c>
      <c r="C7" s="1"/>
      <c r="D7" s="27">
        <f>D11/D5</f>
        <v>6.25E-2</v>
      </c>
      <c r="E7" s="14">
        <f t="shared" ref="E7:P7" si="0">E11/E5</f>
        <v>6.25E-2</v>
      </c>
      <c r="F7" s="14">
        <f t="shared" si="0"/>
        <v>6.25E-2</v>
      </c>
      <c r="G7" s="14">
        <f t="shared" si="0"/>
        <v>6.25E-2</v>
      </c>
      <c r="H7" s="14">
        <f t="shared" si="0"/>
        <v>6.25E-2</v>
      </c>
      <c r="I7" s="14">
        <f t="shared" si="0"/>
        <v>6.25E-2</v>
      </c>
      <c r="J7" s="14">
        <f t="shared" si="0"/>
        <v>6.25E-2</v>
      </c>
      <c r="K7" s="14">
        <f t="shared" si="0"/>
        <v>6.25E-2</v>
      </c>
      <c r="L7" s="14">
        <f t="shared" si="0"/>
        <v>6.25E-2</v>
      </c>
      <c r="M7" s="14">
        <f t="shared" si="0"/>
        <v>6.25E-2</v>
      </c>
      <c r="N7" s="14">
        <f t="shared" si="0"/>
        <v>6.25E-2</v>
      </c>
      <c r="O7" s="14">
        <f t="shared" si="0"/>
        <v>6.25E-2</v>
      </c>
      <c r="P7" s="14">
        <f t="shared" si="0"/>
        <v>6.25E-2</v>
      </c>
      <c r="Q7" s="14">
        <f t="shared" ref="Q7:S7" si="1">Q11/Q5</f>
        <v>6.25E-2</v>
      </c>
      <c r="R7" s="14">
        <f t="shared" si="1"/>
        <v>6.25E-2</v>
      </c>
      <c r="S7" s="15">
        <f t="shared" si="1"/>
        <v>6.25E-2</v>
      </c>
      <c r="T7" s="27">
        <f>T11/T5</f>
        <v>0.16544117647058823</v>
      </c>
      <c r="U7" s="14">
        <f t="shared" ref="U7:Y7" si="2">U11/U5</f>
        <v>0.16544117647058823</v>
      </c>
      <c r="V7" s="14">
        <f t="shared" si="2"/>
        <v>0.16544117647058823</v>
      </c>
      <c r="W7" s="14">
        <f t="shared" si="2"/>
        <v>0.16544117647058823</v>
      </c>
      <c r="X7" s="14">
        <f t="shared" si="2"/>
        <v>0.16544117647058823</v>
      </c>
      <c r="Y7" s="48">
        <f t="shared" si="2"/>
        <v>0.16544117647058823</v>
      </c>
      <c r="Z7" s="27">
        <f>Z11/Z5</f>
        <v>8.0882352941176475E-2</v>
      </c>
      <c r="AA7" s="14">
        <f t="shared" ref="AA7:AE7" si="3">AA11/AA5</f>
        <v>8.0882352941176475E-2</v>
      </c>
      <c r="AB7" s="14">
        <f t="shared" si="3"/>
        <v>8.0882352941176475E-2</v>
      </c>
      <c r="AC7" s="14">
        <f t="shared" si="3"/>
        <v>8.0882352941176475E-2</v>
      </c>
      <c r="AD7" s="14">
        <f t="shared" si="3"/>
        <v>8.0882352941176475E-2</v>
      </c>
      <c r="AE7" s="48">
        <f t="shared" si="3"/>
        <v>8.0882352941176475E-2</v>
      </c>
      <c r="AF7" s="39">
        <v>0.33</v>
      </c>
      <c r="AG7" s="10">
        <v>0.42</v>
      </c>
      <c r="AH7" s="20">
        <v>0.25</v>
      </c>
      <c r="AI7" s="39">
        <f t="shared" ref="AI7:BI7" si="4">AI11/AI5</f>
        <v>8.3333333333333329E-2</v>
      </c>
      <c r="AJ7" s="10">
        <f t="shared" si="4"/>
        <v>8.3333333333333329E-2</v>
      </c>
      <c r="AK7" s="10">
        <f t="shared" si="4"/>
        <v>8.3333333333333329E-2</v>
      </c>
      <c r="AL7" s="10">
        <f t="shared" si="4"/>
        <v>8.3333333333333329E-2</v>
      </c>
      <c r="AM7" s="10">
        <f t="shared" si="4"/>
        <v>8.3333333333333329E-2</v>
      </c>
      <c r="AN7" s="10">
        <f t="shared" si="4"/>
        <v>8.3333333333333329E-2</v>
      </c>
      <c r="AO7" s="10">
        <f t="shared" si="4"/>
        <v>8.3333333333333329E-2</v>
      </c>
      <c r="AP7" s="10">
        <f t="shared" si="4"/>
        <v>0.16666666666666666</v>
      </c>
      <c r="AQ7" s="10">
        <f t="shared" si="4"/>
        <v>8.3333333333333329E-2</v>
      </c>
      <c r="AR7" s="10">
        <f t="shared" si="4"/>
        <v>8.3333333333333329E-2</v>
      </c>
      <c r="AS7" s="20">
        <f t="shared" si="4"/>
        <v>8.3333333333333329E-2</v>
      </c>
      <c r="AT7" s="27">
        <f t="shared" si="4"/>
        <v>2.9411764705882353E-2</v>
      </c>
      <c r="AU7" s="14">
        <f t="shared" si="4"/>
        <v>2.9411764705882353E-2</v>
      </c>
      <c r="AV7" s="14">
        <f t="shared" si="4"/>
        <v>2.9411764705882353E-2</v>
      </c>
      <c r="AW7" s="14">
        <f t="shared" si="4"/>
        <v>2.9411764705882353E-2</v>
      </c>
      <c r="AX7" s="14">
        <f t="shared" si="4"/>
        <v>2.9411764705882353E-2</v>
      </c>
      <c r="AY7" s="14">
        <f t="shared" si="4"/>
        <v>2.9411764705882353E-2</v>
      </c>
      <c r="AZ7" s="14">
        <f t="shared" si="4"/>
        <v>2.9411764705882353E-2</v>
      </c>
      <c r="BA7" s="14">
        <f t="shared" si="4"/>
        <v>2.9411764705882353E-2</v>
      </c>
      <c r="BB7" s="14">
        <f t="shared" si="4"/>
        <v>2.9411764705882353E-2</v>
      </c>
      <c r="BC7" s="14">
        <f t="shared" si="4"/>
        <v>2.9411764705882353E-2</v>
      </c>
      <c r="BD7" s="14">
        <f t="shared" si="4"/>
        <v>2.9411764705882353E-2</v>
      </c>
      <c r="BE7" s="14">
        <f t="shared" si="4"/>
        <v>2.9411764705882353E-2</v>
      </c>
      <c r="BF7" s="14">
        <f t="shared" si="4"/>
        <v>2.9411764705882353E-2</v>
      </c>
      <c r="BG7" s="14">
        <f t="shared" si="4"/>
        <v>2.9411764705882353E-2</v>
      </c>
      <c r="BH7" s="14">
        <f t="shared" si="4"/>
        <v>2.9411764705882353E-2</v>
      </c>
      <c r="BI7" s="15">
        <f t="shared" si="4"/>
        <v>2.9411764705882353E-2</v>
      </c>
    </row>
    <row r="8" spans="2:61" x14ac:dyDescent="0.35">
      <c r="B8" s="4" t="s">
        <v>8</v>
      </c>
      <c r="C8" s="1"/>
      <c r="D8" s="26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 s="19">
        <v>1</v>
      </c>
      <c r="T8" s="26">
        <v>1</v>
      </c>
      <c r="U8">
        <v>1</v>
      </c>
      <c r="V8">
        <v>1</v>
      </c>
      <c r="W8">
        <v>1</v>
      </c>
      <c r="X8">
        <v>1</v>
      </c>
      <c r="Y8" s="46">
        <v>1</v>
      </c>
      <c r="Z8" s="26">
        <v>1</v>
      </c>
      <c r="AA8">
        <v>1</v>
      </c>
      <c r="AB8">
        <v>1</v>
      </c>
      <c r="AC8">
        <v>1</v>
      </c>
      <c r="AD8">
        <v>1</v>
      </c>
      <c r="AE8" s="46">
        <v>1</v>
      </c>
      <c r="AF8" s="26">
        <v>1</v>
      </c>
      <c r="AG8">
        <v>1</v>
      </c>
      <c r="AH8" s="19">
        <v>1</v>
      </c>
      <c r="AI8" s="26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 s="19">
        <v>1</v>
      </c>
      <c r="AT8" s="26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 s="19">
        <v>1</v>
      </c>
    </row>
    <row r="9" spans="2:61" x14ac:dyDescent="0.35">
      <c r="B9" s="4" t="s">
        <v>9</v>
      </c>
      <c r="C9" s="1"/>
      <c r="D9" s="26">
        <v>4</v>
      </c>
      <c r="E9">
        <v>4</v>
      </c>
      <c r="F9">
        <v>4</v>
      </c>
      <c r="G9">
        <v>4</v>
      </c>
      <c r="H9">
        <v>4</v>
      </c>
      <c r="I9">
        <v>4</v>
      </c>
      <c r="J9">
        <v>4</v>
      </c>
      <c r="K9">
        <v>4</v>
      </c>
      <c r="L9">
        <v>4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 s="19">
        <v>4</v>
      </c>
      <c r="T9" s="26">
        <v>4</v>
      </c>
      <c r="U9">
        <v>4</v>
      </c>
      <c r="V9">
        <v>4</v>
      </c>
      <c r="W9">
        <v>4</v>
      </c>
      <c r="X9">
        <v>4</v>
      </c>
      <c r="Y9" s="46">
        <v>4</v>
      </c>
      <c r="Z9" s="26">
        <v>4</v>
      </c>
      <c r="AA9">
        <v>4</v>
      </c>
      <c r="AB9">
        <v>4</v>
      </c>
      <c r="AC9">
        <v>4</v>
      </c>
      <c r="AD9">
        <v>4</v>
      </c>
      <c r="AE9" s="46">
        <v>4</v>
      </c>
      <c r="AF9" s="26">
        <v>4</v>
      </c>
      <c r="AG9">
        <v>4</v>
      </c>
      <c r="AH9" s="19">
        <v>4</v>
      </c>
      <c r="AI9" s="26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 s="19">
        <v>4</v>
      </c>
      <c r="AT9" s="26">
        <v>4</v>
      </c>
      <c r="AU9">
        <v>4</v>
      </c>
      <c r="AV9">
        <v>4</v>
      </c>
      <c r="AW9">
        <v>4</v>
      </c>
      <c r="AX9">
        <v>4</v>
      </c>
      <c r="AY9">
        <v>4</v>
      </c>
      <c r="AZ9">
        <v>4</v>
      </c>
      <c r="BA9">
        <v>4</v>
      </c>
      <c r="BB9">
        <v>4</v>
      </c>
      <c r="BC9">
        <v>4</v>
      </c>
      <c r="BD9">
        <v>4</v>
      </c>
      <c r="BE9">
        <v>4</v>
      </c>
      <c r="BF9">
        <v>4</v>
      </c>
      <c r="BG9">
        <v>4</v>
      </c>
      <c r="BH9">
        <v>4</v>
      </c>
      <c r="BI9" s="19">
        <v>4</v>
      </c>
    </row>
    <row r="10" spans="2:61" x14ac:dyDescent="0.35">
      <c r="B10" s="4" t="s">
        <v>10</v>
      </c>
      <c r="C10" s="1"/>
      <c r="D10" s="26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 s="19">
        <v>2</v>
      </c>
      <c r="T10" s="26">
        <v>2</v>
      </c>
      <c r="U10">
        <v>2</v>
      </c>
      <c r="V10">
        <v>2</v>
      </c>
      <c r="W10">
        <v>2</v>
      </c>
      <c r="X10">
        <v>2</v>
      </c>
      <c r="Y10" s="46">
        <v>2</v>
      </c>
      <c r="Z10" s="26">
        <v>2</v>
      </c>
      <c r="AA10">
        <v>2</v>
      </c>
      <c r="AB10">
        <v>2</v>
      </c>
      <c r="AC10">
        <v>2</v>
      </c>
      <c r="AD10">
        <v>2</v>
      </c>
      <c r="AE10" s="46">
        <v>2</v>
      </c>
      <c r="AF10" s="26">
        <v>2</v>
      </c>
      <c r="AG10">
        <v>1</v>
      </c>
      <c r="AH10" s="19">
        <v>1</v>
      </c>
      <c r="AI10" s="26">
        <v>2</v>
      </c>
      <c r="AJ10">
        <v>2</v>
      </c>
      <c r="AK10">
        <v>2</v>
      </c>
      <c r="AL10">
        <v>2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 s="19">
        <v>1</v>
      </c>
      <c r="AT10" s="26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 s="19">
        <v>2</v>
      </c>
    </row>
    <row r="11" spans="2:61" x14ac:dyDescent="0.35">
      <c r="B11" s="3" t="s">
        <v>11</v>
      </c>
      <c r="C11" s="1"/>
      <c r="D11" s="28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1">
        <v>17</v>
      </c>
      <c r="K11" s="1">
        <v>17</v>
      </c>
      <c r="L11" s="1">
        <v>17</v>
      </c>
      <c r="M11" s="1">
        <v>17</v>
      </c>
      <c r="N11" s="1">
        <v>17</v>
      </c>
      <c r="O11" s="1">
        <v>17</v>
      </c>
      <c r="P11" s="1">
        <v>17</v>
      </c>
      <c r="Q11" s="1">
        <v>17</v>
      </c>
      <c r="R11" s="1">
        <v>17</v>
      </c>
      <c r="S11" s="1">
        <v>17</v>
      </c>
      <c r="T11" s="44">
        <v>45</v>
      </c>
      <c r="U11" s="1">
        <v>45</v>
      </c>
      <c r="V11" s="1">
        <v>45</v>
      </c>
      <c r="W11" s="1">
        <v>45</v>
      </c>
      <c r="X11" s="1">
        <v>45</v>
      </c>
      <c r="Y11" s="47">
        <v>45</v>
      </c>
      <c r="Z11" s="44">
        <v>22</v>
      </c>
      <c r="AA11" s="1">
        <v>22</v>
      </c>
      <c r="AB11" s="1">
        <v>22</v>
      </c>
      <c r="AC11" s="1">
        <v>22</v>
      </c>
      <c r="AD11" s="1">
        <v>22</v>
      </c>
      <c r="AE11" s="1">
        <v>22</v>
      </c>
      <c r="AF11" s="26">
        <v>32</v>
      </c>
      <c r="AG11">
        <v>40</v>
      </c>
      <c r="AH11" s="19">
        <v>24</v>
      </c>
      <c r="AI11" s="26">
        <v>8</v>
      </c>
      <c r="AJ11">
        <v>8</v>
      </c>
      <c r="AK11">
        <v>8</v>
      </c>
      <c r="AL11">
        <v>8</v>
      </c>
      <c r="AM11">
        <v>8</v>
      </c>
      <c r="AN11">
        <v>8</v>
      </c>
      <c r="AO11">
        <v>8</v>
      </c>
      <c r="AP11">
        <v>16</v>
      </c>
      <c r="AQ11">
        <v>8</v>
      </c>
      <c r="AR11">
        <v>8</v>
      </c>
      <c r="AS11" s="19">
        <v>8</v>
      </c>
      <c r="AT11" s="28">
        <v>8</v>
      </c>
      <c r="AU11" s="1">
        <v>8</v>
      </c>
      <c r="AV11" s="1">
        <v>8</v>
      </c>
      <c r="AW11" s="1">
        <v>8</v>
      </c>
      <c r="AX11" s="1">
        <v>8</v>
      </c>
      <c r="AY11" s="1">
        <v>8</v>
      </c>
      <c r="AZ11" s="1">
        <v>8</v>
      </c>
      <c r="BA11" s="1">
        <v>8</v>
      </c>
      <c r="BB11" s="1">
        <v>8</v>
      </c>
      <c r="BC11" s="1">
        <v>8</v>
      </c>
      <c r="BD11" s="1">
        <v>8</v>
      </c>
      <c r="BE11" s="1">
        <v>8</v>
      </c>
      <c r="BF11" s="1">
        <v>8</v>
      </c>
      <c r="BG11" s="1">
        <v>8</v>
      </c>
      <c r="BH11" s="1">
        <v>8</v>
      </c>
      <c r="BI11" s="11">
        <v>8</v>
      </c>
    </row>
    <row r="12" spans="2:61" x14ac:dyDescent="0.35">
      <c r="B12" s="3" t="s">
        <v>39</v>
      </c>
      <c r="C12" s="1"/>
      <c r="D12" s="28">
        <v>14</v>
      </c>
      <c r="E12" s="1">
        <v>14</v>
      </c>
      <c r="F12" s="1">
        <v>14</v>
      </c>
      <c r="G12" s="1">
        <v>14</v>
      </c>
      <c r="H12" s="1">
        <v>14</v>
      </c>
      <c r="I12" s="1">
        <v>14</v>
      </c>
      <c r="J12" s="1">
        <v>14</v>
      </c>
      <c r="K12" s="1">
        <v>14</v>
      </c>
      <c r="L12" s="1">
        <v>14</v>
      </c>
      <c r="M12" s="1">
        <v>14</v>
      </c>
      <c r="N12" s="1">
        <v>14</v>
      </c>
      <c r="O12" s="1">
        <v>14</v>
      </c>
      <c r="P12" s="1">
        <v>14</v>
      </c>
      <c r="Q12" s="1">
        <v>14</v>
      </c>
      <c r="R12" s="1">
        <v>14</v>
      </c>
      <c r="S12" s="11">
        <v>14</v>
      </c>
      <c r="T12" s="28">
        <v>14</v>
      </c>
      <c r="U12" s="1">
        <v>14</v>
      </c>
      <c r="V12" s="1">
        <v>14</v>
      </c>
      <c r="W12" s="1">
        <v>14</v>
      </c>
      <c r="X12" s="1">
        <v>14</v>
      </c>
      <c r="Y12" s="47">
        <v>14</v>
      </c>
      <c r="Z12" s="28">
        <v>14</v>
      </c>
      <c r="AA12" s="1">
        <v>14</v>
      </c>
      <c r="AB12" s="1">
        <v>14</v>
      </c>
      <c r="AC12" s="1">
        <v>14</v>
      </c>
      <c r="AD12" s="1">
        <v>14</v>
      </c>
      <c r="AE12" s="47">
        <v>14</v>
      </c>
      <c r="AF12" s="26">
        <v>14</v>
      </c>
      <c r="AG12">
        <v>14</v>
      </c>
      <c r="AH12" s="19">
        <v>14</v>
      </c>
      <c r="AI12" s="26">
        <v>14</v>
      </c>
      <c r="AJ12">
        <v>14</v>
      </c>
      <c r="AK12">
        <v>14</v>
      </c>
      <c r="AL12">
        <v>14</v>
      </c>
      <c r="AM12">
        <v>14</v>
      </c>
      <c r="AN12">
        <v>14</v>
      </c>
      <c r="AO12">
        <v>14</v>
      </c>
      <c r="AP12">
        <v>14</v>
      </c>
      <c r="AQ12">
        <v>14</v>
      </c>
      <c r="AR12">
        <v>14</v>
      </c>
      <c r="AS12" s="19">
        <v>14</v>
      </c>
      <c r="AT12" s="28">
        <v>14</v>
      </c>
      <c r="AU12" s="1">
        <v>14</v>
      </c>
      <c r="AV12" s="1">
        <v>14</v>
      </c>
      <c r="AW12" s="1">
        <v>14</v>
      </c>
      <c r="AX12" s="1">
        <v>14</v>
      </c>
      <c r="AY12" s="1">
        <v>14</v>
      </c>
      <c r="AZ12" s="1">
        <v>14</v>
      </c>
      <c r="BA12" s="1">
        <v>14</v>
      </c>
      <c r="BB12" s="1">
        <v>14</v>
      </c>
      <c r="BC12" s="1">
        <v>14</v>
      </c>
      <c r="BD12" s="1">
        <v>14</v>
      </c>
      <c r="BE12" s="1">
        <v>14</v>
      </c>
      <c r="BF12" s="1">
        <v>14</v>
      </c>
      <c r="BG12" s="1">
        <v>14</v>
      </c>
      <c r="BH12" s="1">
        <v>14</v>
      </c>
      <c r="BI12" s="11">
        <v>14</v>
      </c>
    </row>
    <row r="13" spans="2:61" x14ac:dyDescent="0.35">
      <c r="B13" s="3" t="s">
        <v>40</v>
      </c>
      <c r="C13" s="1"/>
      <c r="D13" s="28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1">
        <v>1</v>
      </c>
      <c r="T13" s="28">
        <v>1</v>
      </c>
      <c r="U13" s="1">
        <v>1</v>
      </c>
      <c r="V13" s="1">
        <v>1</v>
      </c>
      <c r="W13" s="1">
        <v>1</v>
      </c>
      <c r="X13" s="1">
        <v>1</v>
      </c>
      <c r="Y13" s="47">
        <v>1</v>
      </c>
      <c r="Z13" s="28">
        <v>1</v>
      </c>
      <c r="AA13" s="1">
        <v>1</v>
      </c>
      <c r="AB13" s="1">
        <v>1</v>
      </c>
      <c r="AC13" s="1">
        <v>1</v>
      </c>
      <c r="AD13" s="1">
        <v>1</v>
      </c>
      <c r="AE13" s="47">
        <v>1</v>
      </c>
      <c r="AF13" s="26">
        <v>1</v>
      </c>
      <c r="AG13">
        <v>1</v>
      </c>
      <c r="AH13" s="19">
        <v>1</v>
      </c>
      <c r="AI13" s="26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 s="19">
        <v>1</v>
      </c>
      <c r="AT13" s="28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1">
        <v>1</v>
      </c>
      <c r="BC13" s="1">
        <v>1</v>
      </c>
      <c r="BD13" s="1">
        <v>1</v>
      </c>
      <c r="BE13" s="1">
        <v>1</v>
      </c>
      <c r="BF13" s="1">
        <v>1</v>
      </c>
      <c r="BG13" s="1">
        <v>1</v>
      </c>
      <c r="BH13" s="1">
        <v>1</v>
      </c>
      <c r="BI13" s="11">
        <v>1</v>
      </c>
    </row>
    <row r="14" spans="2:61" x14ac:dyDescent="0.35">
      <c r="B14" s="5" t="s">
        <v>14</v>
      </c>
      <c r="C14" s="1"/>
      <c r="D14" s="28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1">
        <v>1</v>
      </c>
      <c r="T14" s="28">
        <v>1</v>
      </c>
      <c r="U14" s="1">
        <v>1</v>
      </c>
      <c r="V14" s="1">
        <v>1</v>
      </c>
      <c r="W14" s="1">
        <v>1</v>
      </c>
      <c r="X14" s="1">
        <v>1</v>
      </c>
      <c r="Y14" s="47">
        <v>1</v>
      </c>
      <c r="Z14" s="28">
        <v>1</v>
      </c>
      <c r="AA14" s="1">
        <v>1</v>
      </c>
      <c r="AB14" s="1">
        <v>1</v>
      </c>
      <c r="AC14" s="1">
        <v>1</v>
      </c>
      <c r="AD14" s="1">
        <v>1</v>
      </c>
      <c r="AE14" s="47">
        <v>1</v>
      </c>
      <c r="AF14" s="26">
        <v>1</v>
      </c>
      <c r="AG14">
        <v>1</v>
      </c>
      <c r="AH14" s="19">
        <v>1</v>
      </c>
      <c r="AI14" s="26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 s="19">
        <v>1</v>
      </c>
      <c r="AT14" s="28">
        <v>1</v>
      </c>
      <c r="AU14" s="1">
        <v>1</v>
      </c>
      <c r="AV14" s="1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1">
        <v>1</v>
      </c>
      <c r="BC14" s="1">
        <v>1</v>
      </c>
      <c r="BD14" s="1">
        <v>1</v>
      </c>
      <c r="BE14" s="1">
        <v>1</v>
      </c>
      <c r="BF14" s="1">
        <v>1</v>
      </c>
      <c r="BG14" s="1">
        <v>1</v>
      </c>
      <c r="BH14" s="1">
        <v>1</v>
      </c>
      <c r="BI14" s="11">
        <v>1</v>
      </c>
    </row>
    <row r="15" spans="2:61" x14ac:dyDescent="0.35">
      <c r="B15" s="5" t="s">
        <v>15</v>
      </c>
      <c r="C15" s="1"/>
      <c r="D15" s="28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1">
        <v>0</v>
      </c>
      <c r="T15" s="28">
        <v>0</v>
      </c>
      <c r="U15" s="1">
        <v>0</v>
      </c>
      <c r="V15" s="1">
        <v>0</v>
      </c>
      <c r="W15" s="1">
        <v>0</v>
      </c>
      <c r="X15" s="1">
        <v>0</v>
      </c>
      <c r="Y15" s="47">
        <v>0</v>
      </c>
      <c r="Z15" s="28">
        <v>0</v>
      </c>
      <c r="AA15" s="1">
        <v>0</v>
      </c>
      <c r="AB15" s="1">
        <v>0</v>
      </c>
      <c r="AC15" s="1">
        <v>0</v>
      </c>
      <c r="AD15" s="1">
        <v>0</v>
      </c>
      <c r="AE15" s="47">
        <v>0</v>
      </c>
      <c r="AF15" s="26">
        <v>0</v>
      </c>
      <c r="AG15">
        <v>0</v>
      </c>
      <c r="AH15" s="19">
        <v>0</v>
      </c>
      <c r="AI15" s="26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 s="19">
        <v>0</v>
      </c>
      <c r="AT15" s="28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1">
        <v>0</v>
      </c>
    </row>
    <row r="16" spans="2:61" x14ac:dyDescent="0.35">
      <c r="B16" s="3" t="s">
        <v>16</v>
      </c>
      <c r="C16" s="1"/>
      <c r="D16" s="28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2</v>
      </c>
      <c r="Q16" s="1">
        <v>2</v>
      </c>
      <c r="R16" s="1">
        <v>2</v>
      </c>
      <c r="S16" s="11">
        <v>2</v>
      </c>
      <c r="T16" s="28">
        <v>2</v>
      </c>
      <c r="U16" s="1">
        <v>2</v>
      </c>
      <c r="V16" s="1">
        <v>2</v>
      </c>
      <c r="W16" s="1">
        <v>2</v>
      </c>
      <c r="X16" s="1">
        <v>2</v>
      </c>
      <c r="Y16" s="47">
        <v>2</v>
      </c>
      <c r="Z16" s="28">
        <v>2</v>
      </c>
      <c r="AA16" s="1">
        <v>2</v>
      </c>
      <c r="AB16" s="1">
        <v>2</v>
      </c>
      <c r="AC16" s="1">
        <v>2</v>
      </c>
      <c r="AD16" s="1">
        <v>2</v>
      </c>
      <c r="AE16" s="47">
        <v>2</v>
      </c>
      <c r="AF16" s="26">
        <v>2</v>
      </c>
      <c r="AG16">
        <v>2</v>
      </c>
      <c r="AH16" s="19">
        <v>2</v>
      </c>
      <c r="AI16" s="2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 s="19">
        <v>2</v>
      </c>
      <c r="AT16" s="28">
        <v>2</v>
      </c>
      <c r="AU16" s="1">
        <v>2</v>
      </c>
      <c r="AV16" s="1">
        <v>2</v>
      </c>
      <c r="AW16" s="1">
        <v>2</v>
      </c>
      <c r="AX16" s="1">
        <v>2</v>
      </c>
      <c r="AY16" s="1">
        <v>2</v>
      </c>
      <c r="AZ16" s="1">
        <v>2</v>
      </c>
      <c r="BA16" s="1">
        <v>2</v>
      </c>
      <c r="BB16" s="1">
        <v>2</v>
      </c>
      <c r="BC16" s="1">
        <v>2</v>
      </c>
      <c r="BD16" s="1">
        <v>2</v>
      </c>
      <c r="BE16" s="1">
        <v>2</v>
      </c>
      <c r="BF16" s="1">
        <v>2</v>
      </c>
      <c r="BG16" s="1">
        <v>2</v>
      </c>
      <c r="BH16" s="1">
        <v>2</v>
      </c>
      <c r="BI16" s="11">
        <v>2</v>
      </c>
    </row>
    <row r="17" spans="2:61" x14ac:dyDescent="0.35">
      <c r="B17" s="3" t="s">
        <v>17</v>
      </c>
      <c r="C17" s="1"/>
      <c r="D17" s="28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1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1">
        <v>27</v>
      </c>
      <c r="Q17" s="1">
        <v>27</v>
      </c>
      <c r="R17" s="1">
        <v>27</v>
      </c>
      <c r="S17" s="11">
        <v>27</v>
      </c>
      <c r="T17" s="28">
        <v>27</v>
      </c>
      <c r="U17" s="1">
        <v>27</v>
      </c>
      <c r="V17" s="1">
        <v>27</v>
      </c>
      <c r="W17" s="1">
        <v>27</v>
      </c>
      <c r="X17" s="1">
        <v>27</v>
      </c>
      <c r="Y17" s="47">
        <v>27</v>
      </c>
      <c r="Z17" s="28">
        <v>27</v>
      </c>
      <c r="AA17" s="1">
        <v>27</v>
      </c>
      <c r="AB17" s="1">
        <v>27</v>
      </c>
      <c r="AC17" s="1">
        <v>27</v>
      </c>
      <c r="AD17" s="1">
        <v>27</v>
      </c>
      <c r="AE17" s="47">
        <v>27</v>
      </c>
      <c r="AF17" s="26">
        <v>24</v>
      </c>
      <c r="AG17">
        <v>13</v>
      </c>
      <c r="AH17" s="19">
        <v>7</v>
      </c>
      <c r="AI17" s="26">
        <v>24</v>
      </c>
      <c r="AJ17">
        <v>24</v>
      </c>
      <c r="AK17">
        <v>24</v>
      </c>
      <c r="AL17">
        <v>24</v>
      </c>
      <c r="AM17">
        <v>13</v>
      </c>
      <c r="AN17">
        <v>13</v>
      </c>
      <c r="AO17">
        <v>13</v>
      </c>
      <c r="AP17">
        <v>13</v>
      </c>
      <c r="AQ17">
        <v>7</v>
      </c>
      <c r="AR17">
        <v>7</v>
      </c>
      <c r="AS17" s="19">
        <v>7</v>
      </c>
      <c r="AT17" s="28">
        <v>27</v>
      </c>
      <c r="AU17" s="1">
        <v>27</v>
      </c>
      <c r="AV17" s="1">
        <v>27</v>
      </c>
      <c r="AW17" s="1">
        <v>27</v>
      </c>
      <c r="AX17" s="1">
        <v>27</v>
      </c>
      <c r="AY17" s="1">
        <v>27</v>
      </c>
      <c r="AZ17" s="1">
        <v>27</v>
      </c>
      <c r="BA17" s="1">
        <v>27</v>
      </c>
      <c r="BB17" s="1">
        <v>27</v>
      </c>
      <c r="BC17" s="1">
        <v>27</v>
      </c>
      <c r="BD17" s="1">
        <v>27</v>
      </c>
      <c r="BE17" s="1">
        <v>27</v>
      </c>
      <c r="BF17" s="1">
        <v>27</v>
      </c>
      <c r="BG17" s="1">
        <v>27</v>
      </c>
      <c r="BH17" s="1">
        <v>27</v>
      </c>
      <c r="BI17" s="11">
        <v>27</v>
      </c>
    </row>
    <row r="18" spans="2:61" x14ac:dyDescent="0.35">
      <c r="B18" s="3" t="s">
        <v>18</v>
      </c>
      <c r="C18" s="1"/>
      <c r="D18" s="28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1</v>
      </c>
      <c r="Q18" s="1">
        <v>1</v>
      </c>
      <c r="R18" s="1">
        <v>1</v>
      </c>
      <c r="S18" s="11">
        <v>1</v>
      </c>
      <c r="T18" s="28">
        <v>1</v>
      </c>
      <c r="U18" s="1">
        <v>1</v>
      </c>
      <c r="V18" s="1">
        <v>1</v>
      </c>
      <c r="W18" s="1">
        <v>1</v>
      </c>
      <c r="X18" s="1">
        <v>1</v>
      </c>
      <c r="Y18" s="47">
        <v>1</v>
      </c>
      <c r="Z18" s="28">
        <v>1</v>
      </c>
      <c r="AA18" s="1">
        <v>1</v>
      </c>
      <c r="AB18" s="1">
        <v>1</v>
      </c>
      <c r="AC18" s="1">
        <v>1</v>
      </c>
      <c r="AD18" s="1">
        <v>1</v>
      </c>
      <c r="AE18" s="47">
        <v>1</v>
      </c>
      <c r="AF18" s="26">
        <v>1</v>
      </c>
      <c r="AG18">
        <v>1</v>
      </c>
      <c r="AH18" s="19">
        <v>1</v>
      </c>
      <c r="AI18" s="26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 s="19">
        <v>1</v>
      </c>
      <c r="AT18" s="28">
        <v>1</v>
      </c>
      <c r="AU18" s="1">
        <v>1</v>
      </c>
      <c r="AV18" s="1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1">
        <v>1</v>
      </c>
      <c r="BC18" s="1">
        <v>1</v>
      </c>
      <c r="BD18" s="1">
        <v>1</v>
      </c>
      <c r="BE18" s="1">
        <v>1</v>
      </c>
      <c r="BF18" s="1">
        <v>1</v>
      </c>
      <c r="BG18" s="1">
        <v>1</v>
      </c>
      <c r="BH18" s="1">
        <v>1</v>
      </c>
      <c r="BI18" s="11">
        <v>1</v>
      </c>
    </row>
    <row r="19" spans="2:61" x14ac:dyDescent="0.35">
      <c r="B19" s="3" t="s">
        <v>19</v>
      </c>
      <c r="C19" s="1"/>
      <c r="D19" s="28">
        <v>2</v>
      </c>
      <c r="E19" s="1">
        <v>2</v>
      </c>
      <c r="F19" s="1">
        <v>2</v>
      </c>
      <c r="G19" s="1">
        <v>2</v>
      </c>
      <c r="H19" s="1">
        <v>2</v>
      </c>
      <c r="I19" s="1">
        <v>2</v>
      </c>
      <c r="J19" s="1">
        <v>2</v>
      </c>
      <c r="K19" s="1">
        <v>2</v>
      </c>
      <c r="L19" s="1">
        <v>2</v>
      </c>
      <c r="M19" s="1">
        <v>2</v>
      </c>
      <c r="N19" s="1">
        <v>2</v>
      </c>
      <c r="O19" s="1">
        <v>2</v>
      </c>
      <c r="P19" s="1">
        <v>2</v>
      </c>
      <c r="Q19" s="1">
        <v>2</v>
      </c>
      <c r="R19" s="1">
        <v>2</v>
      </c>
      <c r="S19" s="11">
        <v>2</v>
      </c>
      <c r="T19" s="28">
        <v>2</v>
      </c>
      <c r="U19" s="1">
        <v>2</v>
      </c>
      <c r="V19" s="1">
        <v>2</v>
      </c>
      <c r="W19" s="1">
        <v>2</v>
      </c>
      <c r="X19" s="1">
        <v>2</v>
      </c>
      <c r="Y19" s="47">
        <v>2</v>
      </c>
      <c r="Z19" s="28">
        <v>2</v>
      </c>
      <c r="AA19" s="1">
        <v>2</v>
      </c>
      <c r="AB19" s="1">
        <v>2</v>
      </c>
      <c r="AC19" s="1">
        <v>2</v>
      </c>
      <c r="AD19" s="1">
        <v>2</v>
      </c>
      <c r="AE19" s="47">
        <v>2</v>
      </c>
      <c r="AF19" s="26">
        <v>2</v>
      </c>
      <c r="AG19">
        <v>1</v>
      </c>
      <c r="AH19" s="19">
        <v>1</v>
      </c>
      <c r="AI19" s="26">
        <v>2</v>
      </c>
      <c r="AJ19">
        <v>2</v>
      </c>
      <c r="AK19">
        <v>2</v>
      </c>
      <c r="AL19">
        <v>2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 s="19">
        <v>1</v>
      </c>
      <c r="AT19" s="28">
        <v>2</v>
      </c>
      <c r="AU19" s="1">
        <v>2</v>
      </c>
      <c r="AV19" s="1">
        <v>2</v>
      </c>
      <c r="AW19" s="1">
        <v>2</v>
      </c>
      <c r="AX19" s="1">
        <v>2</v>
      </c>
      <c r="AY19" s="1">
        <v>2</v>
      </c>
      <c r="AZ19" s="1">
        <v>2</v>
      </c>
      <c r="BA19" s="1">
        <v>2</v>
      </c>
      <c r="BB19" s="1">
        <v>2</v>
      </c>
      <c r="BC19" s="1">
        <v>2</v>
      </c>
      <c r="BD19" s="1">
        <v>2</v>
      </c>
      <c r="BE19" s="1">
        <v>2</v>
      </c>
      <c r="BF19" s="1">
        <v>2</v>
      </c>
      <c r="BG19" s="1">
        <v>2</v>
      </c>
      <c r="BH19" s="1">
        <v>2</v>
      </c>
      <c r="BI19" s="11">
        <v>2</v>
      </c>
    </row>
    <row r="20" spans="2:61" x14ac:dyDescent="0.35">
      <c r="B20" s="3" t="s">
        <v>20</v>
      </c>
      <c r="C20" s="1"/>
      <c r="D20" s="28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1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N20" s="1" t="s">
        <v>44</v>
      </c>
      <c r="O20" s="1" t="s">
        <v>44</v>
      </c>
      <c r="P20" s="1" t="s">
        <v>44</v>
      </c>
      <c r="Q20" s="1" t="s">
        <v>44</v>
      </c>
      <c r="R20" s="1" t="s">
        <v>44</v>
      </c>
      <c r="S20" s="11" t="s">
        <v>44</v>
      </c>
      <c r="T20" s="28" t="s">
        <v>44</v>
      </c>
      <c r="U20" s="1" t="s">
        <v>44</v>
      </c>
      <c r="V20" s="1" t="s">
        <v>44</v>
      </c>
      <c r="W20" s="1" t="s">
        <v>44</v>
      </c>
      <c r="X20" s="1" t="s">
        <v>44</v>
      </c>
      <c r="Y20" s="47" t="s">
        <v>44</v>
      </c>
      <c r="Z20" s="28" t="s">
        <v>44</v>
      </c>
      <c r="AA20" s="1" t="s">
        <v>44</v>
      </c>
      <c r="AB20" s="1" t="s">
        <v>44</v>
      </c>
      <c r="AC20" s="1" t="s">
        <v>44</v>
      </c>
      <c r="AD20" s="1" t="s">
        <v>44</v>
      </c>
      <c r="AE20" s="47" t="s">
        <v>44</v>
      </c>
      <c r="AF20" s="28" t="s">
        <v>44</v>
      </c>
      <c r="AG20" s="1" t="s">
        <v>44</v>
      </c>
      <c r="AH20" s="11" t="s">
        <v>44</v>
      </c>
      <c r="AI20" s="28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1" t="s">
        <v>44</v>
      </c>
      <c r="AQ20" s="1" t="s">
        <v>44</v>
      </c>
      <c r="AR20" s="1" t="s">
        <v>44</v>
      </c>
      <c r="AS20" s="11" t="s">
        <v>44</v>
      </c>
      <c r="AT20" s="28" t="s">
        <v>44</v>
      </c>
      <c r="AU20" s="1" t="s">
        <v>44</v>
      </c>
      <c r="AV20" s="1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1" t="s">
        <v>44</v>
      </c>
      <c r="BB20" s="1" t="s">
        <v>44</v>
      </c>
      <c r="BC20" s="1" t="s">
        <v>44</v>
      </c>
      <c r="BD20" s="1" t="s">
        <v>44</v>
      </c>
      <c r="BE20" s="1" t="s">
        <v>44</v>
      </c>
      <c r="BF20" s="1" t="s">
        <v>44</v>
      </c>
      <c r="BG20" s="1" t="s">
        <v>44</v>
      </c>
      <c r="BH20" s="1" t="s">
        <v>44</v>
      </c>
      <c r="BI20" s="11" t="s">
        <v>44</v>
      </c>
    </row>
    <row r="21" spans="2:61" x14ac:dyDescent="0.35">
      <c r="B21" s="6" t="s">
        <v>22</v>
      </c>
      <c r="C21" s="1"/>
      <c r="D21" s="29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6"/>
      <c r="T21" s="29"/>
      <c r="U21" s="17"/>
      <c r="V21" s="17"/>
      <c r="W21" s="17"/>
      <c r="X21" s="17"/>
      <c r="Y21" s="49"/>
      <c r="Z21" s="29"/>
      <c r="AA21" s="17"/>
      <c r="AB21" s="17"/>
      <c r="AC21" s="17"/>
      <c r="AD21" s="17"/>
      <c r="AE21" s="49"/>
      <c r="AF21" s="29"/>
      <c r="AG21" s="17"/>
      <c r="AH21" s="16"/>
      <c r="AI21" s="29"/>
      <c r="AJ21" s="17"/>
      <c r="AK21" s="17"/>
      <c r="AL21" s="17"/>
      <c r="AM21" s="17"/>
      <c r="AN21" s="17"/>
      <c r="AO21" s="17"/>
      <c r="AP21" s="17"/>
      <c r="AQ21" s="17"/>
      <c r="AR21" s="17"/>
      <c r="AS21" s="16"/>
      <c r="AT21" s="29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6"/>
    </row>
    <row r="22" spans="2:61" x14ac:dyDescent="0.35">
      <c r="B22" s="7" t="s">
        <v>23</v>
      </c>
      <c r="C22" s="1"/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1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1" t="s">
        <v>24</v>
      </c>
      <c r="Q22" s="1" t="s">
        <v>24</v>
      </c>
      <c r="R22" s="1" t="s">
        <v>24</v>
      </c>
      <c r="S22" s="11" t="s">
        <v>24</v>
      </c>
      <c r="T22" s="28" t="s">
        <v>24</v>
      </c>
      <c r="U22" s="1" t="s">
        <v>24</v>
      </c>
      <c r="V22" s="1" t="s">
        <v>24</v>
      </c>
      <c r="W22" s="1" t="s">
        <v>24</v>
      </c>
      <c r="X22" s="1" t="s">
        <v>24</v>
      </c>
      <c r="Y22" s="47" t="s">
        <v>24</v>
      </c>
      <c r="Z22" s="28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47" t="s">
        <v>24</v>
      </c>
      <c r="AF22" s="28" t="s">
        <v>24</v>
      </c>
      <c r="AG22" s="1" t="s">
        <v>24</v>
      </c>
      <c r="AH22" s="11" t="s">
        <v>24</v>
      </c>
      <c r="AI22" s="28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1" t="s">
        <v>24</v>
      </c>
      <c r="AQ22" s="1" t="s">
        <v>24</v>
      </c>
      <c r="AR22" s="1" t="s">
        <v>24</v>
      </c>
      <c r="AS22" s="11" t="s">
        <v>24</v>
      </c>
      <c r="AT22" s="28" t="s">
        <v>24</v>
      </c>
      <c r="AU22" s="1" t="s">
        <v>24</v>
      </c>
      <c r="AV22" s="1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1" t="s">
        <v>24</v>
      </c>
      <c r="BB22" s="1" t="s">
        <v>24</v>
      </c>
      <c r="BC22" s="1" t="s">
        <v>24</v>
      </c>
      <c r="BD22" s="1" t="s">
        <v>24</v>
      </c>
      <c r="BE22" s="1" t="s">
        <v>24</v>
      </c>
      <c r="BF22" s="1" t="s">
        <v>24</v>
      </c>
      <c r="BG22" s="1" t="s">
        <v>24</v>
      </c>
      <c r="BH22" s="1" t="s">
        <v>24</v>
      </c>
      <c r="BI22" s="11" t="s">
        <v>24</v>
      </c>
    </row>
    <row r="23" spans="2:61" x14ac:dyDescent="0.35">
      <c r="B23" s="7" t="s">
        <v>25</v>
      </c>
      <c r="C23" s="1"/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28">
        <v>0</v>
      </c>
      <c r="U23" s="1">
        <v>0</v>
      </c>
      <c r="V23" s="1">
        <v>0</v>
      </c>
      <c r="W23" s="1">
        <v>0</v>
      </c>
      <c r="X23" s="1">
        <v>0</v>
      </c>
      <c r="Y23" s="47">
        <v>0</v>
      </c>
      <c r="Z23" s="28">
        <v>0</v>
      </c>
      <c r="AA23" s="1">
        <v>0</v>
      </c>
      <c r="AB23" s="1">
        <v>0</v>
      </c>
      <c r="AC23" s="1">
        <v>0</v>
      </c>
      <c r="AD23" s="1">
        <v>0</v>
      </c>
      <c r="AE23" s="47">
        <v>0</v>
      </c>
      <c r="AF23" s="28">
        <v>0</v>
      </c>
      <c r="AG23" s="1">
        <v>0</v>
      </c>
      <c r="AH23" s="11">
        <v>0</v>
      </c>
      <c r="AI23" s="28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1">
        <v>0</v>
      </c>
      <c r="AT23" s="28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1">
        <v>0</v>
      </c>
    </row>
    <row r="24" spans="2:61" x14ac:dyDescent="0.35">
      <c r="B24" s="7" t="s">
        <v>26</v>
      </c>
      <c r="C24" s="1"/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1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1" t="s">
        <v>27</v>
      </c>
      <c r="Q24" s="1" t="s">
        <v>27</v>
      </c>
      <c r="R24" s="1" t="s">
        <v>27</v>
      </c>
      <c r="S24" s="11" t="s">
        <v>27</v>
      </c>
      <c r="T24" s="28" t="s">
        <v>27</v>
      </c>
      <c r="U24" s="1" t="s">
        <v>27</v>
      </c>
      <c r="V24" s="1" t="s">
        <v>27</v>
      </c>
      <c r="W24" s="1" t="s">
        <v>27</v>
      </c>
      <c r="X24" s="1" t="s">
        <v>27</v>
      </c>
      <c r="Y24" s="47" t="s">
        <v>27</v>
      </c>
      <c r="Z24" s="28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47" t="s">
        <v>27</v>
      </c>
      <c r="AF24" s="26" t="s">
        <v>27</v>
      </c>
      <c r="AG24" t="s">
        <v>27</v>
      </c>
      <c r="AH24" s="19" t="s">
        <v>27</v>
      </c>
      <c r="AI24" s="26" t="s">
        <v>27</v>
      </c>
      <c r="AJ24" t="s">
        <v>27</v>
      </c>
      <c r="AK24" t="s">
        <v>27</v>
      </c>
      <c r="AL24" t="s">
        <v>27</v>
      </c>
      <c r="AM24" t="s">
        <v>27</v>
      </c>
      <c r="AN24" t="s">
        <v>27</v>
      </c>
      <c r="AO24" t="s">
        <v>27</v>
      </c>
      <c r="AP24" t="s">
        <v>27</v>
      </c>
      <c r="AQ24" t="s">
        <v>27</v>
      </c>
      <c r="AR24" t="s">
        <v>27</v>
      </c>
      <c r="AS24" s="19" t="s">
        <v>27</v>
      </c>
      <c r="AT24" s="28" t="s">
        <v>27</v>
      </c>
      <c r="AU24" s="1" t="s">
        <v>27</v>
      </c>
      <c r="AV24" s="1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1" t="s">
        <v>27</v>
      </c>
      <c r="BB24" s="1" t="s">
        <v>27</v>
      </c>
      <c r="BC24" s="1" t="s">
        <v>27</v>
      </c>
      <c r="BD24" s="1" t="s">
        <v>27</v>
      </c>
      <c r="BE24" s="1" t="s">
        <v>27</v>
      </c>
      <c r="BF24" s="1" t="s">
        <v>27</v>
      </c>
      <c r="BG24" s="1" t="s">
        <v>27</v>
      </c>
      <c r="BH24" s="1" t="s">
        <v>27</v>
      </c>
      <c r="BI24" s="11" t="s">
        <v>27</v>
      </c>
    </row>
    <row r="25" spans="2:61" x14ac:dyDescent="0.35">
      <c r="B25" s="6" t="s">
        <v>28</v>
      </c>
      <c r="C25" s="1"/>
      <c r="D25" s="29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6"/>
      <c r="T25" s="29"/>
      <c r="U25" s="17"/>
      <c r="V25" s="17"/>
      <c r="W25" s="17"/>
      <c r="X25" s="17"/>
      <c r="Y25" s="49"/>
      <c r="Z25" s="29"/>
      <c r="AA25" s="17"/>
      <c r="AB25" s="17"/>
      <c r="AC25" s="17"/>
      <c r="AD25" s="17"/>
      <c r="AE25" s="49"/>
      <c r="AF25" s="29"/>
      <c r="AG25" s="17"/>
      <c r="AH25" s="16"/>
      <c r="AI25" s="29"/>
      <c r="AJ25" s="17"/>
      <c r="AK25" s="17"/>
      <c r="AL25" s="17"/>
      <c r="AM25" s="17"/>
      <c r="AN25" s="17"/>
      <c r="AO25" s="17"/>
      <c r="AP25" s="17"/>
      <c r="AQ25" s="17"/>
      <c r="AR25" s="17"/>
      <c r="AS25" s="16"/>
      <c r="AT25" s="29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6"/>
    </row>
    <row r="26" spans="2:61" x14ac:dyDescent="0.35">
      <c r="B26" s="8" t="s">
        <v>29</v>
      </c>
      <c r="C26" s="1"/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1" cm="1">
        <f t="array" ref="I26">Comm_MCS_ModOrd(I16,I17)</f>
        <v>8</v>
      </c>
      <c r="J26" s="1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" cm="1">
        <f t="array" ref="O26">Comm_MCS_ModOrd(O16,O17)</f>
        <v>8</v>
      </c>
      <c r="P26" s="1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1" cm="1">
        <f t="array" ref="S26">Comm_MCS_ModOrd(S16,S17)</f>
        <v>8</v>
      </c>
      <c r="T26" s="28" cm="1">
        <f t="array" ref="T26">Comm_MCS_ModOrd(T16,T17)</f>
        <v>8</v>
      </c>
      <c r="U26" s="1" cm="1">
        <f t="array" ref="U26">Comm_MCS_ModOrd(U16,U17)</f>
        <v>8</v>
      </c>
      <c r="V26" s="1" cm="1">
        <f t="array" ref="V26">Comm_MCS_ModOrd(V16,V17)</f>
        <v>8</v>
      </c>
      <c r="W26" s="1" cm="1">
        <f t="array" ref="W26">Comm_MCS_ModOrd(W16,W17)</f>
        <v>8</v>
      </c>
      <c r="X26" s="1" cm="1">
        <f t="array" ref="X26">Comm_MCS_ModOrd(X16,X17)</f>
        <v>8</v>
      </c>
      <c r="Y26" s="47" cm="1">
        <f t="array" ref="Y26">Comm_MCS_ModOrd(Y16,Y17)</f>
        <v>8</v>
      </c>
      <c r="Z26" s="28" cm="1">
        <f t="array" ref="Z26">Comm_MCS_ModOrd(Z16,Z17)</f>
        <v>8</v>
      </c>
      <c r="AA26" s="1" cm="1">
        <f t="array" ref="AA26">Comm_MCS_ModOrd(AA16,AA17)</f>
        <v>8</v>
      </c>
      <c r="AB26" s="1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47" cm="1">
        <f t="array" ref="AE26">Comm_MCS_ModOrd(AE16,AE17)</f>
        <v>8</v>
      </c>
      <c r="AF26" s="28" cm="1">
        <f t="array" ref="AF26">Comm_MCS_ModOrd(AF16,AF17)</f>
        <v>8</v>
      </c>
      <c r="AG26" s="1" cm="1">
        <f t="array" ref="AG26">Comm_MCS_ModOrd(AG16,AG17)</f>
        <v>6</v>
      </c>
      <c r="AH26" s="11" cm="1">
        <f t="array" ref="AH26">Comm_MCS_ModOrd(AH16,AH17)</f>
        <v>4</v>
      </c>
      <c r="AI26" s="28" cm="1">
        <f t="array" ref="AI26">Comm_MCS_ModOrd(AI16,AI17)</f>
        <v>8</v>
      </c>
      <c r="AJ26" s="1" cm="1">
        <f t="array" ref="AJ26">Comm_MCS_ModOrd(AJ16,AJ17)</f>
        <v>8</v>
      </c>
      <c r="AK26" s="1" cm="1">
        <f t="array" ref="AK26">Comm_MCS_ModOrd(AK16,AK17)</f>
        <v>8</v>
      </c>
      <c r="AL26" s="1" cm="1">
        <f t="array" ref="AL26">Comm_MCS_ModOrd(AL16,AL17)</f>
        <v>8</v>
      </c>
      <c r="AM26" s="1" cm="1">
        <f t="array" ref="AM26">Comm_MCS_ModOrd(AM16,AM17)</f>
        <v>6</v>
      </c>
      <c r="AN26" s="1" cm="1">
        <f t="array" ref="AN26">Comm_MCS_ModOrd(AN16,AN17)</f>
        <v>6</v>
      </c>
      <c r="AO26" s="1" cm="1">
        <f t="array" ref="AO26">Comm_MCS_ModOrd(AO16,AO17)</f>
        <v>6</v>
      </c>
      <c r="AP26" s="1" cm="1">
        <f t="array" ref="AP26">Comm_MCS_ModOrd(AP16,AP17)</f>
        <v>6</v>
      </c>
      <c r="AQ26" s="1" cm="1">
        <f t="array" ref="AQ26">Comm_MCS_ModOrd(AQ16,AQ17)</f>
        <v>4</v>
      </c>
      <c r="AR26" s="1" cm="1">
        <f t="array" ref="AR26">Comm_MCS_ModOrd(AR16,AR17)</f>
        <v>4</v>
      </c>
      <c r="AS26" s="11" cm="1">
        <f t="array" ref="AS26">Comm_MCS_ModOrd(AS16,AS17)</f>
        <v>4</v>
      </c>
      <c r="AT26" s="28" cm="1">
        <f t="array" ref="AT26">Comm_MCS_ModOrd(AT16,AT17)</f>
        <v>8</v>
      </c>
      <c r="AU26" s="1" cm="1">
        <f t="array" ref="AU26">Comm_MCS_ModOrd(AU16,AU17)</f>
        <v>8</v>
      </c>
      <c r="AV26" s="1" cm="1">
        <f t="array" ref="AV26">Comm_MCS_ModOrd(AV16,AV17)</f>
        <v>8</v>
      </c>
      <c r="AW26" s="1" cm="1">
        <f t="array" ref="AW26">Comm_MCS_ModOrd(AW16,AW17)</f>
        <v>8</v>
      </c>
      <c r="AX26" s="1" cm="1">
        <f t="array" ref="AX26">Comm_MCS_ModOrd(AX16,AX17)</f>
        <v>8</v>
      </c>
      <c r="AY26" s="1" cm="1">
        <f t="array" ref="AY26">Comm_MCS_ModOrd(AY16,AY17)</f>
        <v>8</v>
      </c>
      <c r="AZ26" s="1" cm="1">
        <f t="array" ref="AZ26">Comm_MCS_ModOrd(AZ16,AZ17)</f>
        <v>8</v>
      </c>
      <c r="BA26" s="1" cm="1">
        <f t="array" ref="BA26">Comm_MCS_ModOrd(BA16,BA17)</f>
        <v>8</v>
      </c>
      <c r="BB26" s="1" cm="1">
        <f t="array" ref="BB26">Comm_MCS_ModOrd(BB16,BB17)</f>
        <v>8</v>
      </c>
      <c r="BC26" s="1" cm="1">
        <f t="array" ref="BC26">Comm_MCS_ModOrd(BC16,BC17)</f>
        <v>8</v>
      </c>
      <c r="BD26" s="1" cm="1">
        <f t="array" ref="BD26">Comm_MCS_ModOrd(BD16,BD17)</f>
        <v>8</v>
      </c>
      <c r="BE26" s="1" cm="1">
        <f t="array" ref="BE26">Comm_MCS_ModOrd(BE16,BE17)</f>
        <v>8</v>
      </c>
      <c r="BF26" s="1" cm="1">
        <f t="array" ref="BF26">Comm_MCS_ModOrd(BF16,BF17)</f>
        <v>8</v>
      </c>
      <c r="BG26" s="1" cm="1">
        <f t="array" ref="BG26">Comm_MCS_ModOrd(BG16,BG17)</f>
        <v>8</v>
      </c>
      <c r="BH26" s="1" cm="1">
        <f t="array" ref="BH26">Comm_MCS_ModOrd(BH16,BH17)</f>
        <v>8</v>
      </c>
      <c r="BI26" s="11" cm="1">
        <f t="array" ref="BI26">Comm_MCS_ModOrd(BI16,BI17)</f>
        <v>8</v>
      </c>
    </row>
    <row r="27" spans="2:61" x14ac:dyDescent="0.35">
      <c r="B27" s="8" t="s">
        <v>30</v>
      </c>
      <c r="C27" s="1"/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1" cm="1">
        <f t="array" ref="I27">Comm_MCS_CodeRate(I16,I17)</f>
        <v>948</v>
      </c>
      <c r="J27" s="1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" cm="1">
        <f t="array" ref="O27">Comm_MCS_CodeRate(O16,O17)</f>
        <v>948</v>
      </c>
      <c r="P27" s="1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1" cm="1">
        <f t="array" ref="S27">Comm_MCS_CodeRate(S16,S17)</f>
        <v>948</v>
      </c>
      <c r="T27" s="28" cm="1">
        <f t="array" ref="T27">Comm_MCS_CodeRate(T16,T17)</f>
        <v>948</v>
      </c>
      <c r="U27" s="1" cm="1">
        <f t="array" ref="U27">Comm_MCS_CodeRate(U16,U17)</f>
        <v>948</v>
      </c>
      <c r="V27" s="1" cm="1">
        <f t="array" ref="V27">Comm_MCS_CodeRate(V16,V17)</f>
        <v>948</v>
      </c>
      <c r="W27" s="1" cm="1">
        <f t="array" ref="W27">Comm_MCS_CodeRate(W16,W17)</f>
        <v>948</v>
      </c>
      <c r="X27" s="1" cm="1">
        <f t="array" ref="X27">Comm_MCS_CodeRate(X16,X17)</f>
        <v>948</v>
      </c>
      <c r="Y27" s="47" cm="1">
        <f t="array" ref="Y27">Comm_MCS_CodeRate(Y16,Y17)</f>
        <v>948</v>
      </c>
      <c r="Z27" s="28" cm="1">
        <f t="array" ref="Z27">Comm_MCS_CodeRate(Z16,Z17)</f>
        <v>948</v>
      </c>
      <c r="AA27" s="1" cm="1">
        <f t="array" ref="AA27">Comm_MCS_CodeRate(AA16,AA17)</f>
        <v>948</v>
      </c>
      <c r="AB27" s="1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47" cm="1">
        <f t="array" ref="AE27">Comm_MCS_CodeRate(AE16,AE17)</f>
        <v>948</v>
      </c>
      <c r="AF27" s="28" cm="1">
        <f t="array" ref="AF27">Comm_MCS_CodeRate(AF16,AF17)</f>
        <v>841</v>
      </c>
      <c r="AG27" s="1" cm="1">
        <f t="array" ref="AG27">Comm_MCS_CodeRate(AG16,AG17)</f>
        <v>567</v>
      </c>
      <c r="AH27" s="11" cm="1">
        <f t="array" ref="AH27">Comm_MCS_CodeRate(AH16,AH17)</f>
        <v>490</v>
      </c>
      <c r="AI27" s="28" cm="1">
        <f t="array" ref="AI27">Comm_MCS_CodeRate(AI16,AI17)</f>
        <v>841</v>
      </c>
      <c r="AJ27" s="1" cm="1">
        <f t="array" ref="AJ27">Comm_MCS_CodeRate(AJ16,AJ17)</f>
        <v>841</v>
      </c>
      <c r="AK27" s="1" cm="1">
        <f t="array" ref="AK27">Comm_MCS_CodeRate(AK16,AK17)</f>
        <v>841</v>
      </c>
      <c r="AL27" s="1" cm="1">
        <f t="array" ref="AL27">Comm_MCS_CodeRate(AL16,AL17)</f>
        <v>841</v>
      </c>
      <c r="AM27" s="1" cm="1">
        <f t="array" ref="AM27">Comm_MCS_CodeRate(AM16,AM17)</f>
        <v>567</v>
      </c>
      <c r="AN27" s="1" cm="1">
        <f t="array" ref="AN27">Comm_MCS_CodeRate(AN16,AN17)</f>
        <v>567</v>
      </c>
      <c r="AO27" s="1" cm="1">
        <f t="array" ref="AO27">Comm_MCS_CodeRate(AO16,AO17)</f>
        <v>567</v>
      </c>
      <c r="AP27" s="1" cm="1">
        <f t="array" ref="AP27">Comm_MCS_CodeRate(AP16,AP17)</f>
        <v>567</v>
      </c>
      <c r="AQ27" s="1" cm="1">
        <f t="array" ref="AQ27">Comm_MCS_CodeRate(AQ16,AQ17)</f>
        <v>490</v>
      </c>
      <c r="AR27" s="1" cm="1">
        <f t="array" ref="AR27">Comm_MCS_CodeRate(AR16,AR17)</f>
        <v>490</v>
      </c>
      <c r="AS27" s="11" cm="1">
        <f t="array" ref="AS27">Comm_MCS_CodeRate(AS16,AS17)</f>
        <v>490</v>
      </c>
      <c r="AT27" s="28" cm="1">
        <f t="array" ref="AT27">Comm_MCS_CodeRate(AT16,AT17)</f>
        <v>948</v>
      </c>
      <c r="AU27" s="1" cm="1">
        <f t="array" ref="AU27">Comm_MCS_CodeRate(AU16,AU17)</f>
        <v>948</v>
      </c>
      <c r="AV27" s="1" cm="1">
        <f t="array" ref="AV27">Comm_MCS_CodeRate(AV16,AV17)</f>
        <v>948</v>
      </c>
      <c r="AW27" s="1" cm="1">
        <f t="array" ref="AW27">Comm_MCS_CodeRate(AW16,AW17)</f>
        <v>948</v>
      </c>
      <c r="AX27" s="1" cm="1">
        <f t="array" ref="AX27">Comm_MCS_CodeRate(AX16,AX17)</f>
        <v>948</v>
      </c>
      <c r="AY27" s="1" cm="1">
        <f t="array" ref="AY27">Comm_MCS_CodeRate(AY16,AY17)</f>
        <v>948</v>
      </c>
      <c r="AZ27" s="1" cm="1">
        <f t="array" ref="AZ27">Comm_MCS_CodeRate(AZ16,AZ17)</f>
        <v>948</v>
      </c>
      <c r="BA27" s="1" cm="1">
        <f t="array" ref="BA27">Comm_MCS_CodeRate(BA16,BA17)</f>
        <v>948</v>
      </c>
      <c r="BB27" s="1" cm="1">
        <f t="array" ref="BB27">Comm_MCS_CodeRate(BB16,BB17)</f>
        <v>948</v>
      </c>
      <c r="BC27" s="1" cm="1">
        <f t="array" ref="BC27">Comm_MCS_CodeRate(BC16,BC17)</f>
        <v>948</v>
      </c>
      <c r="BD27" s="1" cm="1">
        <f t="array" ref="BD27">Comm_MCS_CodeRate(BD16,BD17)</f>
        <v>948</v>
      </c>
      <c r="BE27" s="1" cm="1">
        <f t="array" ref="BE27">Comm_MCS_CodeRate(BE16,BE17)</f>
        <v>948</v>
      </c>
      <c r="BF27" s="1" cm="1">
        <f t="array" ref="BF27">Comm_MCS_CodeRate(BF16,BF17)</f>
        <v>948</v>
      </c>
      <c r="BG27" s="1" cm="1">
        <f t="array" ref="BG27">Comm_MCS_CodeRate(BG16,BG17)</f>
        <v>948</v>
      </c>
      <c r="BH27" s="1" cm="1">
        <f t="array" ref="BH27">Comm_MCS_CodeRate(BH16,BH17)</f>
        <v>948</v>
      </c>
      <c r="BI27" s="11" cm="1">
        <f t="array" ref="BI27">Comm_MCS_CodeRate(BI16,BI17)</f>
        <v>948</v>
      </c>
    </row>
    <row r="28" spans="2:61" x14ac:dyDescent="0.35">
      <c r="B28" s="9" t="s">
        <v>31</v>
      </c>
      <c r="C28" s="1"/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1" cm="1">
        <f t="array" ref="I28">Comm_Z(I11,I26,I27,I12,I13,I10/I18)</f>
        <v>384</v>
      </c>
      <c r="J28" s="1" cm="1">
        <f t="array" ref="J28">Comm_Z(J11,J26,J27,J12,J13,J10/J18)</f>
        <v>384</v>
      </c>
      <c r="K28" s="1" cm="1">
        <f t="array" ref="K28">Comm_Z(K11,K26,K27,K12,K13,K10/K18)</f>
        <v>384</v>
      </c>
      <c r="L28" s="1" cm="1">
        <f t="array" ref="L28">Comm_Z(L11,L26,L27,L12,L13,L10/L18)</f>
        <v>384</v>
      </c>
      <c r="M28" s="1" cm="1">
        <f t="array" ref="M28">Comm_Z(M11,M26,M27,M12,M13,M10/M18)</f>
        <v>384</v>
      </c>
      <c r="N28" s="1" cm="1">
        <f t="array" ref="N28">Comm_Z(N11,N26,N27,N12,N13,N10/N18)</f>
        <v>384</v>
      </c>
      <c r="O28" s="1" cm="1">
        <f t="array" ref="O28">Comm_Z(O11,O26,O27,O12,O13,O10/O18)</f>
        <v>384</v>
      </c>
      <c r="P28" s="1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1" cm="1">
        <f t="array" ref="S28">Comm_Z(S11,S26,S27,S12,S13,S10/S18)</f>
        <v>384</v>
      </c>
      <c r="T28" s="28" cm="1">
        <f t="array" ref="T28">Comm_Z(T11,T26,T27,T12,T13,T10/T18)</f>
        <v>384</v>
      </c>
      <c r="U28" s="1" cm="1">
        <f t="array" ref="U28">Comm_Z(U11,U26,U27,U12,U13,U10/U18)</f>
        <v>384</v>
      </c>
      <c r="V28" s="1" cm="1">
        <f t="array" ref="V28">Comm_Z(V11,V26,V27,V12,V13,V10/V18)</f>
        <v>384</v>
      </c>
      <c r="W28" s="1" cm="1">
        <f t="array" ref="W28">Comm_Z(W11,W26,W27,W12,W13,W10/W18)</f>
        <v>384</v>
      </c>
      <c r="X28" s="1" cm="1">
        <f t="array" ref="X28">Comm_Z(X11,X26,X27,X12,X13,X10/X18)</f>
        <v>384</v>
      </c>
      <c r="Y28" s="47" cm="1">
        <f t="array" ref="Y28">Comm_Z(Y11,Y26,Y27,Y12,Y13,Y10/Y18)</f>
        <v>384</v>
      </c>
      <c r="Z28" s="28" cm="1">
        <f t="array" ref="Z28">Comm_Z(Z11,Z26,Z27,Z12,Z13,Z10/Z18)</f>
        <v>352</v>
      </c>
      <c r="AA28" s="1" cm="1">
        <f t="array" ref="AA28">Comm_Z(AA11,AA26,AA27,AA12,AA13,AA10/AA18)</f>
        <v>352</v>
      </c>
      <c r="AB28" s="1" cm="1">
        <f t="array" ref="AB28">Comm_Z(AB11,AB26,AB27,AB12,AB13,AB10/AB18)</f>
        <v>352</v>
      </c>
      <c r="AC28" s="1" cm="1">
        <f t="array" ref="AC28">Comm_Z(AC11,AC26,AC27,AC12,AC13,AC10/AC18)</f>
        <v>352</v>
      </c>
      <c r="AD28" s="1" cm="1">
        <f t="array" ref="AD28">Comm_Z(AD11,AD26,AD27,AD12,AD13,AD10/AD18)</f>
        <v>352</v>
      </c>
      <c r="AE28" s="47" cm="1">
        <f t="array" ref="AE28">Comm_Z(AE11,AE26,AE27,AE12,AE13,AE10/AE18)</f>
        <v>352</v>
      </c>
      <c r="AF28" s="28" cm="1">
        <f t="array" ref="AF28">Comm_Z(AF11,AF26,AF27,AF12,AF13,AF10/AF18)</f>
        <v>384</v>
      </c>
      <c r="AG28" s="1" cm="1">
        <f t="array" ref="AG28">Comm_Z(AG11,AG26,AG27,AG12,AG13,AG10/AG18)</f>
        <v>320</v>
      </c>
      <c r="AH28" s="11" cm="1">
        <f t="array" ref="AH28">Comm_Z(AH11,AH26,AH27,AH12,AH13,AH10/AH18)</f>
        <v>352</v>
      </c>
      <c r="AI28" s="28" cm="1">
        <f t="array" ref="AI28">Comm_Z(AI11,AI26,AI27,AI12,AI13,AI10/AI18)</f>
        <v>384</v>
      </c>
      <c r="AJ28" s="1" cm="1">
        <f t="array" ref="AJ28">Comm_Z(AJ11,AJ26,AJ27,AJ12,AJ13,AJ10/AJ18)</f>
        <v>384</v>
      </c>
      <c r="AK28" s="1" cm="1">
        <f t="array" ref="AK28">Comm_Z(AK11,AK26,AK27,AK12,AK13,AK10/AK18)</f>
        <v>384</v>
      </c>
      <c r="AL28" s="1" cm="1">
        <f t="array" ref="AL28">Comm_Z(AL11,AL26,AL27,AL12,AL13,AL10/AL18)</f>
        <v>384</v>
      </c>
      <c r="AM28" s="1" cm="1">
        <f t="array" ref="AM28">Comm_Z(AM11,AM26,AM27,AM12,AM13,AM10/AM18)</f>
        <v>192</v>
      </c>
      <c r="AN28" s="1" cm="1">
        <f t="array" ref="AN28">Comm_Z(AN11,AN26,AN27,AN12,AN13,AN10/AN18)</f>
        <v>192</v>
      </c>
      <c r="AO28" s="1" cm="1">
        <f t="array" ref="AO28">Comm_Z(AO11,AO26,AO27,AO12,AO13,AO10/AO18)</f>
        <v>192</v>
      </c>
      <c r="AP28" s="1" cm="1">
        <f t="array" ref="AP28">Comm_Z(AP11,AP26,AP27,AP12,AP13,AP10/AP18)</f>
        <v>384</v>
      </c>
      <c r="AQ28" s="1" cm="1">
        <f t="array" ref="AQ28">Comm_Z(AQ11,AQ26,AQ27,AQ12,AQ13,AQ10/AQ18)</f>
        <v>256</v>
      </c>
      <c r="AR28" s="1" cm="1">
        <f t="array" ref="AR28">Comm_Z(AR11,AR26,AR27,AR12,AR13,AR10/AR18)</f>
        <v>256</v>
      </c>
      <c r="AS28" s="11" cm="1">
        <f t="array" ref="AS28">Comm_Z(AS11,AS26,AS27,AS12,AS13,AS10/AS18)</f>
        <v>256</v>
      </c>
      <c r="AT28" s="28" cm="1">
        <f t="array" ref="AT28">Comm_Z(AT11,AT26,AT27,AT12,AT13,AT10/AT18)</f>
        <v>288</v>
      </c>
      <c r="AU28" s="1" cm="1">
        <f t="array" ref="AU28">Comm_Z(AU11,AU26,AU27,AU12,AU13,AU10/AU18)</f>
        <v>288</v>
      </c>
      <c r="AV28" s="1" cm="1">
        <f t="array" ref="AV28">Comm_Z(AV11,AV26,AV27,AV12,AV13,AV10/AV18)</f>
        <v>288</v>
      </c>
      <c r="AW28" s="1" cm="1">
        <f t="array" ref="AW28">Comm_Z(AW11,AW26,AW27,AW12,AW13,AW10/AW18)</f>
        <v>288</v>
      </c>
      <c r="AX28" s="1" cm="1">
        <f t="array" ref="AX28">Comm_Z(AX11,AX26,AX27,AX12,AX13,AX10/AX18)</f>
        <v>288</v>
      </c>
      <c r="AY28" s="1" cm="1">
        <f t="array" ref="AY28">Comm_Z(AY11,AY26,AY27,AY12,AY13,AY10/AY18)</f>
        <v>288</v>
      </c>
      <c r="AZ28" s="1" cm="1">
        <f t="array" ref="AZ28">Comm_Z(AZ11,AZ26,AZ27,AZ12,AZ13,AZ10/AZ18)</f>
        <v>288</v>
      </c>
      <c r="BA28" s="1" cm="1">
        <f t="array" ref="BA28">Comm_Z(BA11,BA26,BA27,BA12,BA13,BA10/BA18)</f>
        <v>288</v>
      </c>
      <c r="BB28" s="1" cm="1">
        <f t="array" ref="BB28">Comm_Z(BB11,BB26,BB27,BB12,BB13,BB10/BB18)</f>
        <v>288</v>
      </c>
      <c r="BC28" s="1" cm="1">
        <f t="array" ref="BC28">Comm_Z(BC11,BC26,BC27,BC12,BC13,BC10/BC18)</f>
        <v>288</v>
      </c>
      <c r="BD28" s="1" cm="1">
        <f t="array" ref="BD28">Comm_Z(BD11,BD26,BD27,BD12,BD13,BD10/BD18)</f>
        <v>288</v>
      </c>
      <c r="BE28" s="1" cm="1">
        <f t="array" ref="BE28">Comm_Z(BE11,BE26,BE27,BE12,BE13,BE10/BE18)</f>
        <v>288</v>
      </c>
      <c r="BF28" s="1" cm="1">
        <f t="array" ref="BF28">Comm_Z(BF11,BF26,BF27,BF12,BF13,BF10/BF18)</f>
        <v>288</v>
      </c>
      <c r="BG28" s="1" cm="1">
        <f t="array" ref="BG28">Comm_Z(BG11,BG26,BG27,BG12,BG13,BG10/BG18)</f>
        <v>288</v>
      </c>
      <c r="BH28" s="1" cm="1">
        <f t="array" ref="BH28">Comm_Z(BH11,BH26,BH27,BH12,BH13,BH10/BH18)</f>
        <v>288</v>
      </c>
      <c r="BI28" s="11" cm="1">
        <f t="array" ref="BI28">Comm_Z(BI11,BI26,BI27,BI12,BI13,BI10/BI18)</f>
        <v>288</v>
      </c>
    </row>
    <row r="29" spans="2:61" x14ac:dyDescent="0.35">
      <c r="B29" s="9" t="s">
        <v>32</v>
      </c>
      <c r="C29" s="1"/>
      <c r="D29" s="28" cm="1">
        <f t="array" ref="D29">Comm_TBS(D11,D26,D27,D12,D13,D10/D18)</f>
        <v>38936</v>
      </c>
      <c r="E29" s="1" cm="1">
        <f t="array" ref="E29">Comm_TBS(E11,E26,E27,E12,E13,E10/E18)</f>
        <v>38936</v>
      </c>
      <c r="F29" s="1" cm="1">
        <f t="array" ref="F29">Comm_TBS(F11,F26,F27,F12,F13,F10/F18)</f>
        <v>38936</v>
      </c>
      <c r="G29" s="1" cm="1">
        <f t="array" ref="G29">Comm_TBS(G11,G26,G27,G12,G13,G10/G18)</f>
        <v>38936</v>
      </c>
      <c r="H29" s="1" cm="1">
        <f t="array" ref="H29">Comm_TBS(H11,H26,H27,H12,H13,H10/H18)</f>
        <v>38936</v>
      </c>
      <c r="I29" s="1" cm="1">
        <f t="array" ref="I29">Comm_TBS(I11,I26,I27,I12,I13,I10/I18)</f>
        <v>38936</v>
      </c>
      <c r="J29" s="1" cm="1">
        <f t="array" ref="J29">Comm_TBS(J11,J26,J27,J12,J13,J10/J18)</f>
        <v>38936</v>
      </c>
      <c r="K29" s="1" cm="1">
        <f t="array" ref="K29">Comm_TBS(K11,K26,K27,K12,K13,K10/K18)</f>
        <v>38936</v>
      </c>
      <c r="L29" s="1" cm="1">
        <f t="array" ref="L29">Comm_TBS(L11,L26,L27,L12,L13,L10/L18)</f>
        <v>38936</v>
      </c>
      <c r="M29" s="1" cm="1">
        <f t="array" ref="M29">Comm_TBS(M11,M26,M27,M12,M13,M10/M18)</f>
        <v>38936</v>
      </c>
      <c r="N29" s="1" cm="1">
        <f t="array" ref="N29">Comm_TBS(N11,N26,N27,N12,N13,N10/N18)</f>
        <v>38936</v>
      </c>
      <c r="O29" s="1" cm="1">
        <f t="array" ref="O29">Comm_TBS(O11,O26,O27,O12,O13,O10/O18)</f>
        <v>38936</v>
      </c>
      <c r="P29" s="1" cm="1">
        <f t="array" ref="P29">Comm_TBS(P11,P26,P27,P12,P13,P10/P18)</f>
        <v>38936</v>
      </c>
      <c r="Q29" s="1" cm="1">
        <f t="array" ref="Q29">Comm_TBS(Q11,Q26,Q27,Q12,Q13,Q10/Q18)</f>
        <v>38936</v>
      </c>
      <c r="R29" s="1" cm="1">
        <f t="array" ref="R29">Comm_TBS(R11,R26,R27,R12,R13,R10/R18)</f>
        <v>38936</v>
      </c>
      <c r="S29" s="11" cm="1">
        <f t="array" ref="S29">Comm_TBS(S11,S26,S27,S12,S13,S10/S18)</f>
        <v>38936</v>
      </c>
      <c r="T29" s="28" cm="1">
        <f t="array" ref="T29">Comm_TBS(T11,T26,T27,T12,T13,T10/T18)</f>
        <v>104496</v>
      </c>
      <c r="U29" s="1" cm="1">
        <f t="array" ref="U29">Comm_TBS(U11,U26,U27,U12,U13,U10/U18)</f>
        <v>104496</v>
      </c>
      <c r="V29" s="1" cm="1">
        <f t="array" ref="V29">Comm_TBS(V11,V26,V27,V12,V13,V10/V18)</f>
        <v>104496</v>
      </c>
      <c r="W29" s="1" cm="1">
        <f t="array" ref="W29">Comm_TBS(W11,W26,W27,W12,W13,W10/W18)</f>
        <v>104496</v>
      </c>
      <c r="X29" s="1" cm="1">
        <f t="array" ref="X29">Comm_TBS(X11,X26,X27,X12,X13,X10/X18)</f>
        <v>104496</v>
      </c>
      <c r="Y29" s="47" cm="1">
        <f t="array" ref="Y29">Comm_TBS(Y11,Y26,Y27,Y12,Y13,Y10/Y18)</f>
        <v>104496</v>
      </c>
      <c r="Z29" s="28" cm="1">
        <f t="array" ref="Z29">Comm_TBS(Z11,Z26,Z27,Z12,Z13,Z10/Z18)</f>
        <v>51216</v>
      </c>
      <c r="AA29" s="1" cm="1">
        <f t="array" ref="AA29">Comm_TBS(AA11,AA26,AA27,AA12,AA13,AA10/AA18)</f>
        <v>51216</v>
      </c>
      <c r="AB29" s="1" cm="1">
        <f t="array" ref="AB29">Comm_TBS(AB11,AB26,AB27,AB12,AB13,AB10/AB18)</f>
        <v>51216</v>
      </c>
      <c r="AC29" s="1" cm="1">
        <f t="array" ref="AC29">Comm_TBS(AC11,AC26,AC27,AC12,AC13,AC10/AC18)</f>
        <v>51216</v>
      </c>
      <c r="AD29" s="1" cm="1">
        <f t="array" ref="AD29">Comm_TBS(AD11,AD26,AD27,AD12,AD13,AD10/AD18)</f>
        <v>51216</v>
      </c>
      <c r="AE29" s="47" cm="1">
        <f t="array" ref="AE29">Comm_TBS(AE11,AE26,AE27,AE12,AE13,AE10/AE18)</f>
        <v>51216</v>
      </c>
      <c r="AF29" s="28" cm="1">
        <f t="array" ref="AF29">Comm_TBS(AF11,AF26,AF27,AF12,AF13,AF10/AF18)</f>
        <v>65576</v>
      </c>
      <c r="AG29" s="1" cm="1">
        <f t="array" ref="AG29">Comm_TBS(AG11,AG26,AG27,AG12,AG13,AG10/AG18)</f>
        <v>20496</v>
      </c>
      <c r="AH29" s="11" cm="1">
        <f t="array" ref="AH29">Comm_TBS(AH11,AH26,AH27,AH12,AH13,AH10/AH18)</f>
        <v>7168</v>
      </c>
      <c r="AI29" s="28" cm="1">
        <f t="array" ref="AI29">Comm_TBS(AI11,AI26,AI27,AI12,AI13,AI10/AI18)</f>
        <v>16392</v>
      </c>
      <c r="AJ29" s="1" cm="1">
        <f t="array" ref="AJ29">Comm_TBS(AJ11,AJ26,AJ27,AJ12,AJ13,AJ10/AJ18)</f>
        <v>16392</v>
      </c>
      <c r="AK29" s="1" cm="1">
        <f t="array" ref="AK29">Comm_TBS(AK11,AK26,AK27,AK12,AK13,AK10/AK18)</f>
        <v>16392</v>
      </c>
      <c r="AL29" s="1" cm="1">
        <f t="array" ref="AL29">Comm_TBS(AL11,AL26,AL27,AL12,AL13,AL10/AL18)</f>
        <v>16392</v>
      </c>
      <c r="AM29" s="1" cm="1">
        <f t="array" ref="AM29">Comm_TBS(AM11,AM26,AM27,AM12,AM13,AM10/AM18)</f>
        <v>4096</v>
      </c>
      <c r="AN29" s="1" cm="1">
        <f t="array" ref="AN29">Comm_TBS(AN11,AN26,AN27,AN12,AN13,AN10/AN18)</f>
        <v>4096</v>
      </c>
      <c r="AO29" s="1" cm="1">
        <f t="array" ref="AO29">Comm_TBS(AO11,AO26,AO27,AO12,AO13,AO10/AO18)</f>
        <v>4096</v>
      </c>
      <c r="AP29" s="1" cm="1">
        <f t="array" ref="AP29">Comm_TBS(AP11,AP26,AP27,AP12,AP13,AP10/AP18)</f>
        <v>8192</v>
      </c>
      <c r="AQ29" s="1" cm="1">
        <f t="array" ref="AQ29">Comm_TBS(AQ11,AQ26,AQ27,AQ12,AQ13,AQ10/AQ18)</f>
        <v>2408</v>
      </c>
      <c r="AR29" s="1" cm="1">
        <f t="array" ref="AR29">Comm_TBS(AR11,AR26,AR27,AR12,AR13,AR10/AR18)</f>
        <v>2408</v>
      </c>
      <c r="AS29" s="11" cm="1">
        <f t="array" ref="AS29">Comm_TBS(AS11,AS26,AS27,AS12,AS13,AS10/AS18)</f>
        <v>2408</v>
      </c>
      <c r="AT29" s="28" cm="1">
        <f t="array" ref="AT29">Comm_TBS(AT11,AT26,AT27,AT12,AT13,AT10/AT18)</f>
        <v>18432</v>
      </c>
      <c r="AU29" s="1" cm="1">
        <f t="array" ref="AU29">Comm_TBS(AU11,AU26,AU27,AU12,AU13,AU10/AU18)</f>
        <v>18432</v>
      </c>
      <c r="AV29" s="1" cm="1">
        <f t="array" ref="AV29">Comm_TBS(AV11,AV26,AV27,AV12,AV13,AV10/AV18)</f>
        <v>18432</v>
      </c>
      <c r="AW29" s="1" cm="1">
        <f t="array" ref="AW29">Comm_TBS(AW11,AW26,AW27,AW12,AW13,AW10/AW18)</f>
        <v>18432</v>
      </c>
      <c r="AX29" s="1" cm="1">
        <f t="array" ref="AX29">Comm_TBS(AX11,AX26,AX27,AX12,AX13,AX10/AX18)</f>
        <v>18432</v>
      </c>
      <c r="AY29" s="1" cm="1">
        <f t="array" ref="AY29">Comm_TBS(AY11,AY26,AY27,AY12,AY13,AY10/AY18)</f>
        <v>18432</v>
      </c>
      <c r="AZ29" s="1" cm="1">
        <f t="array" ref="AZ29">Comm_TBS(AZ11,AZ26,AZ27,AZ12,AZ13,AZ10/AZ18)</f>
        <v>18432</v>
      </c>
      <c r="BA29" s="1" cm="1">
        <f t="array" ref="BA29">Comm_TBS(BA11,BA26,BA27,BA12,BA13,BA10/BA18)</f>
        <v>18432</v>
      </c>
      <c r="BB29" s="1" cm="1">
        <f t="array" ref="BB29">Comm_TBS(BB11,BB26,BB27,BB12,BB13,BB10/BB18)</f>
        <v>18432</v>
      </c>
      <c r="BC29" s="1" cm="1">
        <f t="array" ref="BC29">Comm_TBS(BC11,BC26,BC27,BC12,BC13,BC10/BC18)</f>
        <v>18432</v>
      </c>
      <c r="BD29" s="1" cm="1">
        <f t="array" ref="BD29">Comm_TBS(BD11,BD26,BD27,BD12,BD13,BD10/BD18)</f>
        <v>18432</v>
      </c>
      <c r="BE29" s="1" cm="1">
        <f t="array" ref="BE29">Comm_TBS(BE11,BE26,BE27,BE12,BE13,BE10/BE18)</f>
        <v>18432</v>
      </c>
      <c r="BF29" s="1" cm="1">
        <f t="array" ref="BF29">Comm_TBS(BF11,BF26,BF27,BF12,BF13,BF10/BF18)</f>
        <v>18432</v>
      </c>
      <c r="BG29" s="1" cm="1">
        <f t="array" ref="BG29">Comm_TBS(BG11,BG26,BG27,BG12,BG13,BG10/BG18)</f>
        <v>18432</v>
      </c>
      <c r="BH29" s="1" cm="1">
        <f t="array" ref="BH29">Comm_TBS(BH11,BH26,BH27,BH12,BH13,BH10/BH18)</f>
        <v>18432</v>
      </c>
      <c r="BI29" s="11" cm="1">
        <f t="array" ref="BI29">Comm_TBS(BI11,BI26,BI27,BI12,BI13,BI10/BI18)</f>
        <v>18432</v>
      </c>
    </row>
    <row r="30" spans="2:61" x14ac:dyDescent="0.35">
      <c r="B30" s="9" t="s">
        <v>33</v>
      </c>
      <c r="C30" s="1"/>
      <c r="D30" s="28" cm="1">
        <f t="array" ref="D30">Comm_CB(D11,D26,D27,D12,D13,D10/D18)</f>
        <v>5</v>
      </c>
      <c r="E30" s="1" cm="1">
        <f t="array" ref="E30">Comm_CB(E11,E26,E27,E12,E13,E10/E18)</f>
        <v>5</v>
      </c>
      <c r="F30" s="1" cm="1">
        <f t="array" ref="F30">Comm_CB(F11,F26,F27,F12,F13,F10/F18)</f>
        <v>5</v>
      </c>
      <c r="G30" s="1" cm="1">
        <f t="array" ref="G30">Comm_CB(G11,G26,G27,G12,G13,G10/G18)</f>
        <v>5</v>
      </c>
      <c r="H30" s="1" cm="1">
        <f t="array" ref="H30">Comm_CB(H11,H26,H27,H12,H13,H10/H18)</f>
        <v>5</v>
      </c>
      <c r="I30" s="1" cm="1">
        <f t="array" ref="I30">Comm_CB(I11,I26,I27,I12,I13,I10/I18)</f>
        <v>5</v>
      </c>
      <c r="J30" s="1" cm="1">
        <f t="array" ref="J30">Comm_CB(J11,J26,J27,J12,J13,J10/J18)</f>
        <v>5</v>
      </c>
      <c r="K30" s="1" cm="1">
        <f t="array" ref="K30">Comm_CB(K11,K26,K27,K12,K13,K10/K18)</f>
        <v>5</v>
      </c>
      <c r="L30" s="1" cm="1">
        <f t="array" ref="L30">Comm_CB(L11,L26,L27,L12,L13,L10/L18)</f>
        <v>5</v>
      </c>
      <c r="M30" s="1" cm="1">
        <f t="array" ref="M30">Comm_CB(M11,M26,M27,M12,M13,M10/M18)</f>
        <v>5</v>
      </c>
      <c r="N30" s="1" cm="1">
        <f t="array" ref="N30">Comm_CB(N11,N26,N27,N12,N13,N10/N18)</f>
        <v>5</v>
      </c>
      <c r="O30" s="1" cm="1">
        <f t="array" ref="O30">Comm_CB(O11,O26,O27,O12,O13,O10/O18)</f>
        <v>5</v>
      </c>
      <c r="P30" s="1" cm="1">
        <f t="array" ref="P30">Comm_CB(P11,P26,P27,P12,P13,P10/P18)</f>
        <v>5</v>
      </c>
      <c r="Q30" s="1" cm="1">
        <f t="array" ref="Q30">Comm_CB(Q11,Q26,Q27,Q12,Q13,Q10/Q18)</f>
        <v>5</v>
      </c>
      <c r="R30" s="1" cm="1">
        <f t="array" ref="R30">Comm_CB(R11,R26,R27,R12,R13,R10/R18)</f>
        <v>5</v>
      </c>
      <c r="S30" s="11" cm="1">
        <f t="array" ref="S30">Comm_CB(S11,S26,S27,S12,S13,S10/S18)</f>
        <v>5</v>
      </c>
      <c r="T30" s="28" cm="1">
        <f t="array" ref="T30">Comm_CB(T11,T26,T27,T12,T13,T10/T18)</f>
        <v>13</v>
      </c>
      <c r="U30" s="1" cm="1">
        <f t="array" ref="U30">Comm_CB(U11,U26,U27,U12,U13,U10/U18)</f>
        <v>13</v>
      </c>
      <c r="V30" s="1" cm="1">
        <f t="array" ref="V30">Comm_CB(V11,V26,V27,V12,V13,V10/V18)</f>
        <v>13</v>
      </c>
      <c r="W30" s="1" cm="1">
        <f t="array" ref="W30">Comm_CB(W11,W26,W27,W12,W13,W10/W18)</f>
        <v>13</v>
      </c>
      <c r="X30" s="1" cm="1">
        <f t="array" ref="X30">Comm_CB(X11,X26,X27,X12,X13,X10/X18)</f>
        <v>13</v>
      </c>
      <c r="Y30" s="47" cm="1">
        <f t="array" ref="Y30">Comm_CB(Y11,Y26,Y27,Y12,Y13,Y10/Y18)</f>
        <v>13</v>
      </c>
      <c r="Z30" s="28" cm="1">
        <f t="array" ref="Z30">Comm_CB(Z11,Z26,Z27,Z12,Z13,Z10/Z18)</f>
        <v>7</v>
      </c>
      <c r="AA30" s="1" cm="1">
        <f t="array" ref="AA30">Comm_CB(AA11,AA26,AA27,AA12,AA13,AA10/AA18)</f>
        <v>7</v>
      </c>
      <c r="AB30" s="1" cm="1">
        <f t="array" ref="AB30">Comm_CB(AB11,AB26,AB27,AB12,AB13,AB10/AB18)</f>
        <v>7</v>
      </c>
      <c r="AC30" s="1" cm="1">
        <f t="array" ref="AC30">Comm_CB(AC11,AC26,AC27,AC12,AC13,AC10/AC18)</f>
        <v>7</v>
      </c>
      <c r="AD30" s="1" cm="1">
        <f t="array" ref="AD30">Comm_CB(AD11,AD26,AD27,AD12,AD13,AD10/AD18)</f>
        <v>7</v>
      </c>
      <c r="AE30" s="47" cm="1">
        <f t="array" ref="AE30">Comm_CB(AE11,AE26,AE27,AE12,AE13,AE10/AE18)</f>
        <v>7</v>
      </c>
      <c r="AF30" s="28" cm="1">
        <f t="array" ref="AF30">Comm_CB(AF11,AF26,AF27,AF12,AF13,AF10/AF18)</f>
        <v>8</v>
      </c>
      <c r="AG30" s="1" cm="1">
        <f t="array" ref="AG30">Comm_CB(AG11,AG26,AG27,AG12,AG13,AG10/AG18)</f>
        <v>3</v>
      </c>
      <c r="AH30" s="11" cm="1">
        <f t="array" ref="AH30">Comm_CB(AH11,AH26,AH27,AH12,AH13,AH10/AH18)</f>
        <v>1</v>
      </c>
      <c r="AI30" s="28" cm="1">
        <f t="array" ref="AI30">Comm_CB(AI11,AI26,AI27,AI12,AI13,AI10/AI18)</f>
        <v>2</v>
      </c>
      <c r="AJ30" s="1" cm="1">
        <f t="array" ref="AJ30">Comm_CB(AJ11,AJ26,AJ27,AJ12,AJ13,AJ10/AJ18)</f>
        <v>2</v>
      </c>
      <c r="AK30" s="1" cm="1">
        <f t="array" ref="AK30">Comm_CB(AK11,AK26,AK27,AK12,AK13,AK10/AK18)</f>
        <v>2</v>
      </c>
      <c r="AL30" s="1" cm="1">
        <f t="array" ref="AL30">Comm_CB(AL11,AL26,AL27,AL12,AL13,AL10/AL18)</f>
        <v>2</v>
      </c>
      <c r="AM30" s="1" cm="1">
        <f t="array" ref="AM30">Comm_CB(AM11,AM26,AM27,AM12,AM13,AM10/AM18)</f>
        <v>1</v>
      </c>
      <c r="AN30" s="1" cm="1">
        <f t="array" ref="AN30">Comm_CB(AN11,AN26,AN27,AN12,AN13,AN10/AN18)</f>
        <v>1</v>
      </c>
      <c r="AO30" s="1" cm="1">
        <f t="array" ref="AO30">Comm_CB(AO11,AO26,AO27,AO12,AO13,AO10/AO18)</f>
        <v>1</v>
      </c>
      <c r="AP30" s="1" cm="1">
        <f t="array" ref="AP30">Comm_CB(AP11,AP26,AP27,AP12,AP13,AP10/AP18)</f>
        <v>1</v>
      </c>
      <c r="AQ30" s="1" cm="1">
        <f t="array" ref="AQ30">Comm_CB(AQ11,AQ26,AQ27,AQ12,AQ13,AQ10/AQ18)</f>
        <v>1</v>
      </c>
      <c r="AR30" s="1" cm="1">
        <f t="array" ref="AR30">Comm_CB(AR11,AR26,AR27,AR12,AR13,AR10/AR18)</f>
        <v>1</v>
      </c>
      <c r="AS30" s="11" cm="1">
        <f t="array" ref="AS30">Comm_CB(AS11,AS26,AS27,AS12,AS13,AS10/AS18)</f>
        <v>1</v>
      </c>
      <c r="AT30" s="28" cm="1">
        <f t="array" ref="AT30">Comm_CB(AT11,AT26,AT27,AT12,AT13,AT10/AT18)</f>
        <v>3</v>
      </c>
      <c r="AU30" s="1" cm="1">
        <f t="array" ref="AU30">Comm_CB(AU11,AU26,AU27,AU12,AU13,AU10/AU18)</f>
        <v>3</v>
      </c>
      <c r="AV30" s="1" cm="1">
        <f t="array" ref="AV30">Comm_CB(AV11,AV26,AV27,AV12,AV13,AV10/AV18)</f>
        <v>3</v>
      </c>
      <c r="AW30" s="1" cm="1">
        <f t="array" ref="AW30">Comm_CB(AW11,AW26,AW27,AW12,AW13,AW10/AW18)</f>
        <v>3</v>
      </c>
      <c r="AX30" s="1" cm="1">
        <f t="array" ref="AX30">Comm_CB(AX11,AX26,AX27,AX12,AX13,AX10/AX18)</f>
        <v>3</v>
      </c>
      <c r="AY30" s="1" cm="1">
        <f t="array" ref="AY30">Comm_CB(AY11,AY26,AY27,AY12,AY13,AY10/AY18)</f>
        <v>3</v>
      </c>
      <c r="AZ30" s="1" cm="1">
        <f t="array" ref="AZ30">Comm_CB(AZ11,AZ26,AZ27,AZ12,AZ13,AZ10/AZ18)</f>
        <v>3</v>
      </c>
      <c r="BA30" s="1" cm="1">
        <f t="array" ref="BA30">Comm_CB(BA11,BA26,BA27,BA12,BA13,BA10/BA18)</f>
        <v>3</v>
      </c>
      <c r="BB30" s="1" cm="1">
        <f t="array" ref="BB30">Comm_CB(BB11,BB26,BB27,BB12,BB13,BB10/BB18)</f>
        <v>3</v>
      </c>
      <c r="BC30" s="1" cm="1">
        <f t="array" ref="BC30">Comm_CB(BC11,BC26,BC27,BC12,BC13,BC10/BC18)</f>
        <v>3</v>
      </c>
      <c r="BD30" s="1" cm="1">
        <f t="array" ref="BD30">Comm_CB(BD11,BD26,BD27,BD12,BD13,BD10/BD18)</f>
        <v>3</v>
      </c>
      <c r="BE30" s="1" cm="1">
        <f t="array" ref="BE30">Comm_CB(BE11,BE26,BE27,BE12,BE13,BE10/BE18)</f>
        <v>3</v>
      </c>
      <c r="BF30" s="1" cm="1">
        <f t="array" ref="BF30">Comm_CB(BF11,BF26,BF27,BF12,BF13,BF10/BF18)</f>
        <v>3</v>
      </c>
      <c r="BG30" s="1" cm="1">
        <f t="array" ref="BG30">Comm_CB(BG11,BG26,BG27,BG12,BG13,BG10/BG18)</f>
        <v>3</v>
      </c>
      <c r="BH30" s="1" cm="1">
        <f t="array" ref="BH30">Comm_CB(BH11,BH26,BH27,BH12,BH13,BH10/BH18)</f>
        <v>3</v>
      </c>
      <c r="BI30" s="11" cm="1">
        <f t="array" ref="BI30">Comm_CB(BI11,BI26,BI27,BI12,BI13,BI10/BI18)</f>
        <v>3</v>
      </c>
    </row>
    <row r="31" spans="2:61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1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1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12" cm="1">
        <f t="array" ref="S31">Comm_Parity_Nodes(S11,S26,S27,S12,S13,S10/S18)</f>
        <v>4</v>
      </c>
      <c r="T31" s="30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1" cm="1">
        <f t="array" ref="V31">Comm_Parity_Nodes(V11,V26,V27,V12,V13,V10/V18)</f>
        <v>4</v>
      </c>
      <c r="W31" s="31" cm="1">
        <f t="array" ref="W31">Comm_Parity_Nodes(W11,W26,W27,W12,W13,W10/W18)</f>
        <v>4</v>
      </c>
      <c r="X31" s="31" cm="1">
        <f t="array" ref="X31">Comm_Parity_Nodes(X11,X26,X27,X12,X13,X10/X18)</f>
        <v>4</v>
      </c>
      <c r="Y31" s="50" cm="1">
        <f t="array" ref="Y31">Comm_Parity_Nodes(Y11,Y26,Y27,Y12,Y13,Y10/Y18)</f>
        <v>4</v>
      </c>
      <c r="Z31" s="30" cm="1">
        <f t="array" ref="Z31">Comm_Parity_Nodes(Z11,Z26,Z27,Z12,Z13,Z10/Z18)</f>
        <v>4</v>
      </c>
      <c r="AA31" s="31" cm="1">
        <f t="array" ref="AA31">Comm_Parity_Nodes(AA11,AA26,AA27,AA12,AA13,AA10/AA18)</f>
        <v>4</v>
      </c>
      <c r="AB31" s="31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50" cm="1">
        <f t="array" ref="AE31">Comm_Parity_Nodes(AE11,AE26,AE27,AE12,AE13,AE10/AE18)</f>
        <v>4</v>
      </c>
      <c r="AF31" s="30" cm="1">
        <f t="array" ref="AF31">Comm_Parity_Nodes(AF11,AF26,AF27,AF12,AF13,AF10/AF18)</f>
        <v>7</v>
      </c>
      <c r="AG31" s="31" cm="1">
        <f t="array" ref="AG31">Comm_Parity_Nodes(AG11,AG26,AG27,AG12,AG13,AG10/AG18)</f>
        <v>20</v>
      </c>
      <c r="AH31" s="12" cm="1">
        <f t="array" ref="AH31">Comm_Parity_Nodes(AH11,AH26,AH27,AH12,AH13,AH10/AH18)</f>
        <v>25</v>
      </c>
      <c r="AI31" s="30" cm="1">
        <f t="array" ref="AI31">Comm_Parity_Nodes(AI11,AI26,AI27,AI12,AI13,AI10/AI18)</f>
        <v>7</v>
      </c>
      <c r="AJ31" s="31" cm="1">
        <f t="array" ref="AJ31">Comm_Parity_Nodes(AJ11,AJ26,AJ27,AJ12,AJ13,AJ10/AJ18)</f>
        <v>7</v>
      </c>
      <c r="AK31" s="31" cm="1">
        <f t="array" ref="AK31">Comm_Parity_Nodes(AK11,AK26,AK27,AK12,AK13,AK10/AK18)</f>
        <v>7</v>
      </c>
      <c r="AL31" s="31" cm="1">
        <f t="array" ref="AL31">Comm_Parity_Nodes(AL11,AL26,AL27,AL12,AL13,AL10/AL18)</f>
        <v>7</v>
      </c>
      <c r="AM31" s="31" cm="1">
        <f t="array" ref="AM31">Comm_Parity_Nodes(AM11,AM26,AM27,AM12,AM13,AM10/AM18)</f>
        <v>20</v>
      </c>
      <c r="AN31" s="31" cm="1">
        <f t="array" ref="AN31">Comm_Parity_Nodes(AN11,AN26,AN27,AN12,AN13,AN10/AN18)</f>
        <v>20</v>
      </c>
      <c r="AO31" s="31" cm="1">
        <f t="array" ref="AO31">Comm_Parity_Nodes(AO11,AO26,AO27,AO12,AO13,AO10/AO18)</f>
        <v>20</v>
      </c>
      <c r="AP31" s="31" cm="1">
        <f t="array" ref="AP31">Comm_Parity_Nodes(AP11,AP26,AP27,AP12,AP13,AP10/AP18)</f>
        <v>20</v>
      </c>
      <c r="AQ31" s="31" cm="1">
        <f t="array" ref="AQ31">Comm_Parity_Nodes(AQ11,AQ26,AQ27,AQ12,AQ13,AQ10/AQ18)</f>
        <v>12</v>
      </c>
      <c r="AR31" s="31" cm="1">
        <f t="array" ref="AR31">Comm_Parity_Nodes(AR11,AR26,AR27,AR12,AR13,AR10/AR18)</f>
        <v>12</v>
      </c>
      <c r="AS31" s="12" cm="1">
        <f t="array" ref="AS31">Comm_Parity_Nodes(AS11,AS26,AS27,AS12,AS13,AS10/AS18)</f>
        <v>12</v>
      </c>
      <c r="AT31" s="30" cm="1">
        <f t="array" ref="AT31">Comm_Parity_Nodes(AT11,AT26,AT27,AT12,AT13,AT10/AT18)</f>
        <v>4</v>
      </c>
      <c r="AU31" s="31" cm="1">
        <f t="array" ref="AU31">Comm_Parity_Nodes(AU11,AU26,AU27,AU12,AU13,AU10/AU18)</f>
        <v>4</v>
      </c>
      <c r="AV31" s="31" cm="1">
        <f t="array" ref="AV31">Comm_Parity_Nodes(AV11,AV26,AV27,AV12,AV13,AV10/AV18)</f>
        <v>4</v>
      </c>
      <c r="AW31" s="31" cm="1">
        <f t="array" ref="AW31">Comm_Parity_Nodes(AW11,AW26,AW27,AW12,AW13,AW10/AW18)</f>
        <v>4</v>
      </c>
      <c r="AX31" s="31" cm="1">
        <f t="array" ref="AX31">Comm_Parity_Nodes(AX11,AX26,AX27,AX12,AX13,AX10/AX18)</f>
        <v>4</v>
      </c>
      <c r="AY31" s="31" cm="1">
        <f t="array" ref="AY31">Comm_Parity_Nodes(AY11,AY26,AY27,AY12,AY13,AY10/AY18)</f>
        <v>4</v>
      </c>
      <c r="AZ31" s="31" cm="1">
        <f t="array" ref="AZ31">Comm_Parity_Nodes(AZ11,AZ26,AZ27,AZ12,AZ13,AZ10/AZ18)</f>
        <v>4</v>
      </c>
      <c r="BA31" s="31" cm="1">
        <f t="array" ref="BA31">Comm_Parity_Nodes(BA11,BA26,BA27,BA12,BA13,BA10/BA18)</f>
        <v>4</v>
      </c>
      <c r="BB31" s="31" cm="1">
        <f t="array" ref="BB31">Comm_Parity_Nodes(BB11,BB26,BB27,BB12,BB13,BB10/BB18)</f>
        <v>4</v>
      </c>
      <c r="BC31" s="31" cm="1">
        <f t="array" ref="BC31">Comm_Parity_Nodes(BC11,BC26,BC27,BC12,BC13,BC10/BC18)</f>
        <v>4</v>
      </c>
      <c r="BD31" s="31" cm="1">
        <f t="array" ref="BD31">Comm_Parity_Nodes(BD11,BD26,BD27,BD12,BD13,BD10/BD18)</f>
        <v>4</v>
      </c>
      <c r="BE31" s="31" cm="1">
        <f t="array" ref="BE31">Comm_Parity_Nodes(BE11,BE26,BE27,BE12,BE13,BE10/BE18)</f>
        <v>4</v>
      </c>
      <c r="BF31" s="31" cm="1">
        <f t="array" ref="BF31">Comm_Parity_Nodes(BF11,BF26,BF27,BF12,BF13,BF10/BF18)</f>
        <v>4</v>
      </c>
      <c r="BG31" s="31" cm="1">
        <f t="array" ref="BG31">Comm_Parity_Nodes(BG11,BG26,BG27,BG12,BG13,BG10/BG18)</f>
        <v>4</v>
      </c>
      <c r="BH31" s="31" cm="1">
        <f t="array" ref="BH31">Comm_Parity_Nodes(BH11,BH26,BH27,BH12,BH13,BH10/BH18)</f>
        <v>4</v>
      </c>
      <c r="BI31" s="12" cm="1">
        <f t="array" ref="BI31">Comm_Parity_Nodes(BI11,BI26,BI27,BI12,BI13,BI10/BI18)</f>
        <v>4</v>
      </c>
    </row>
    <row r="32" spans="2:61" x14ac:dyDescent="0.35">
      <c r="B32" s="6" t="s">
        <v>35</v>
      </c>
      <c r="D32" s="29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6"/>
      <c r="T32" s="17"/>
      <c r="U32" s="17"/>
      <c r="V32" s="17"/>
      <c r="W32" s="17"/>
      <c r="X32" s="17"/>
      <c r="Y32" s="49"/>
      <c r="Z32" s="17"/>
      <c r="AA32" s="17"/>
      <c r="AB32" s="17"/>
      <c r="AC32" s="17"/>
      <c r="AD32" s="17"/>
      <c r="AE32" s="49"/>
      <c r="AF32" s="37"/>
      <c r="AG32" s="18"/>
      <c r="AH32" s="13"/>
      <c r="AI32" s="37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29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6"/>
    </row>
    <row r="33" spans="2:61" x14ac:dyDescent="0.35">
      <c r="B33" s="9" t="s">
        <v>36</v>
      </c>
      <c r="D33" s="26"/>
      <c r="S33" s="19"/>
      <c r="Y33" s="46"/>
      <c r="AE33" s="46"/>
      <c r="AF33" s="26"/>
      <c r="AH33" s="19"/>
      <c r="AI33" s="26"/>
      <c r="AS33" s="19"/>
      <c r="AT33" s="26"/>
      <c r="BI33" s="19"/>
    </row>
    <row r="34" spans="2:61" ht="15" thickBot="1" x14ac:dyDescent="0.4">
      <c r="B34" s="40" t="s">
        <v>56</v>
      </c>
      <c r="D34" s="38">
        <f>SUMPRODUCT(D18:S18, D29:S29)  / 5 / 0.5/1000/1000</f>
        <v>0.24919039999999998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3"/>
      <c r="T34" s="32">
        <f>SUMPRODUCT(T18:Y18, T29:Y29)  / 5 / 0.5/1000/1000</f>
        <v>0.25079040000000002</v>
      </c>
      <c r="U34" s="32"/>
      <c r="V34" s="32"/>
      <c r="W34" s="32"/>
      <c r="X34" s="32"/>
      <c r="Y34" s="33"/>
      <c r="Z34" s="32">
        <f>SUMPRODUCT(Z18:AE18, Z29:AE29)  / 5 / 0.5/1000/1000</f>
        <v>0.1229184</v>
      </c>
      <c r="AA34" s="32"/>
      <c r="AB34" s="32"/>
      <c r="AC34" s="32"/>
      <c r="AD34" s="32"/>
      <c r="AE34" s="33"/>
      <c r="AF34" s="38">
        <f>SUMPRODUCT(AF18:AH18,AF29:AH29)  / 5 / 0.5/1000/1000</f>
        <v>3.7296000000000003E-2</v>
      </c>
      <c r="AG34" s="32"/>
      <c r="AH34" s="33"/>
      <c r="AI34" s="38">
        <f>SUMPRODUCT(AI18:AS18,AI29:AS29)  / 5 / 0.5/1000/1000</f>
        <v>3.7308800000000003E-2</v>
      </c>
      <c r="AJ34" s="32"/>
      <c r="AK34" s="32"/>
      <c r="AL34" s="32"/>
      <c r="AM34" s="32"/>
      <c r="AN34" s="32"/>
      <c r="AO34" s="32"/>
      <c r="AP34" s="32"/>
      <c r="AQ34" s="32"/>
      <c r="AR34" s="32"/>
      <c r="AS34" s="33"/>
      <c r="AT34" s="38">
        <f>SUMPRODUCT(AT18:BI18, AT29:BI29)  / 5 / 0.5/1000/1000</f>
        <v>0.11796479999999999</v>
      </c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3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B3B30-96E7-4611-8072-166851393A1D}">
  <dimension ref="B1:BG34"/>
  <sheetViews>
    <sheetView topLeftCell="AC1" zoomScale="85" zoomScaleNormal="85" workbookViewId="0">
      <selection activeCell="BB3" sqref="BB3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59" ht="15" thickBot="1" x14ac:dyDescent="0.4"/>
    <row r="2" spans="2:59" x14ac:dyDescent="0.35">
      <c r="B2" s="2" t="s">
        <v>0</v>
      </c>
      <c r="C2" s="1"/>
      <c r="D2" s="21" t="s">
        <v>54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3"/>
      <c r="T2" s="21" t="s">
        <v>82</v>
      </c>
      <c r="U2" s="22"/>
      <c r="V2" s="22"/>
      <c r="W2" s="22"/>
      <c r="X2" s="22"/>
      <c r="Y2" s="45"/>
      <c r="Z2" s="21" t="s">
        <v>83</v>
      </c>
      <c r="AA2" s="22"/>
      <c r="AB2" s="22"/>
      <c r="AC2" s="22"/>
      <c r="AD2" s="22"/>
      <c r="AE2" s="45"/>
      <c r="AF2" s="21" t="s">
        <v>59</v>
      </c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3"/>
      <c r="AV2" s="21" t="s">
        <v>140</v>
      </c>
      <c r="AW2" s="22"/>
      <c r="AX2" s="22"/>
      <c r="AY2" s="22"/>
      <c r="AZ2" s="22"/>
      <c r="BA2" s="45"/>
      <c r="BB2" s="21" t="s">
        <v>141</v>
      </c>
      <c r="BC2" s="22"/>
      <c r="BD2" s="22"/>
      <c r="BE2" s="22"/>
      <c r="BF2" s="22"/>
      <c r="BG2" s="23"/>
    </row>
    <row r="3" spans="2:59" x14ac:dyDescent="0.35">
      <c r="B3" s="3" t="s">
        <v>3</v>
      </c>
      <c r="C3" s="1"/>
      <c r="D3" s="26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 s="19">
        <v>100</v>
      </c>
      <c r="T3" s="26">
        <v>100</v>
      </c>
      <c r="U3">
        <v>100</v>
      </c>
      <c r="V3">
        <v>100</v>
      </c>
      <c r="W3">
        <v>100</v>
      </c>
      <c r="X3">
        <v>100</v>
      </c>
      <c r="Y3" s="46">
        <v>100</v>
      </c>
      <c r="Z3" s="26">
        <v>100</v>
      </c>
      <c r="AA3">
        <v>100</v>
      </c>
      <c r="AB3">
        <v>100</v>
      </c>
      <c r="AC3">
        <v>100</v>
      </c>
      <c r="AD3">
        <v>100</v>
      </c>
      <c r="AE3" s="46">
        <v>100</v>
      </c>
      <c r="AF3" s="26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 s="19">
        <v>100</v>
      </c>
      <c r="AV3" s="26">
        <v>20</v>
      </c>
      <c r="AW3">
        <v>20</v>
      </c>
      <c r="AX3">
        <v>20</v>
      </c>
      <c r="AY3">
        <v>20</v>
      </c>
      <c r="AZ3">
        <v>20</v>
      </c>
      <c r="BA3" s="19">
        <v>20</v>
      </c>
      <c r="BB3">
        <v>20</v>
      </c>
      <c r="BC3">
        <v>20</v>
      </c>
      <c r="BD3">
        <v>20</v>
      </c>
      <c r="BE3">
        <v>20</v>
      </c>
      <c r="BF3">
        <v>20</v>
      </c>
      <c r="BG3" s="19">
        <v>20</v>
      </c>
    </row>
    <row r="4" spans="2:59" x14ac:dyDescent="0.35">
      <c r="B4" s="3" t="s">
        <v>4</v>
      </c>
      <c r="C4" s="1"/>
      <c r="D4" s="26">
        <v>273</v>
      </c>
      <c r="E4">
        <v>273</v>
      </c>
      <c r="F4">
        <v>273</v>
      </c>
      <c r="G4">
        <v>273</v>
      </c>
      <c r="H4">
        <v>273</v>
      </c>
      <c r="I4">
        <v>273</v>
      </c>
      <c r="J4">
        <v>273</v>
      </c>
      <c r="K4">
        <v>273</v>
      </c>
      <c r="L4">
        <v>273</v>
      </c>
      <c r="M4">
        <v>273</v>
      </c>
      <c r="N4">
        <v>273</v>
      </c>
      <c r="O4">
        <v>273</v>
      </c>
      <c r="P4">
        <v>273</v>
      </c>
      <c r="Q4">
        <v>273</v>
      </c>
      <c r="R4">
        <v>273</v>
      </c>
      <c r="S4" s="19">
        <v>273</v>
      </c>
      <c r="T4" s="26">
        <v>273</v>
      </c>
      <c r="U4">
        <v>273</v>
      </c>
      <c r="V4">
        <v>273</v>
      </c>
      <c r="W4">
        <v>273</v>
      </c>
      <c r="X4">
        <v>273</v>
      </c>
      <c r="Y4" s="46">
        <v>273</v>
      </c>
      <c r="Z4" s="26">
        <v>273</v>
      </c>
      <c r="AA4">
        <v>273</v>
      </c>
      <c r="AB4">
        <v>273</v>
      </c>
      <c r="AC4">
        <v>273</v>
      </c>
      <c r="AD4">
        <v>273</v>
      </c>
      <c r="AE4" s="46">
        <v>273</v>
      </c>
      <c r="AF4" s="26">
        <v>273</v>
      </c>
      <c r="AG4">
        <v>273</v>
      </c>
      <c r="AH4">
        <v>273</v>
      </c>
      <c r="AI4">
        <v>273</v>
      </c>
      <c r="AJ4">
        <v>273</v>
      </c>
      <c r="AK4">
        <v>273</v>
      </c>
      <c r="AL4">
        <v>273</v>
      </c>
      <c r="AM4">
        <v>273</v>
      </c>
      <c r="AN4">
        <v>273</v>
      </c>
      <c r="AO4">
        <v>273</v>
      </c>
      <c r="AP4">
        <v>273</v>
      </c>
      <c r="AQ4">
        <v>273</v>
      </c>
      <c r="AR4">
        <v>273</v>
      </c>
      <c r="AS4">
        <v>273</v>
      </c>
      <c r="AT4">
        <v>273</v>
      </c>
      <c r="AU4" s="19">
        <v>273</v>
      </c>
      <c r="AV4" s="26">
        <v>51</v>
      </c>
      <c r="AW4">
        <v>51</v>
      </c>
      <c r="AX4">
        <v>51</v>
      </c>
      <c r="AY4">
        <v>51</v>
      </c>
      <c r="AZ4">
        <v>51</v>
      </c>
      <c r="BA4" s="19">
        <v>51</v>
      </c>
      <c r="BB4">
        <v>51</v>
      </c>
      <c r="BC4">
        <v>51</v>
      </c>
      <c r="BD4">
        <v>51</v>
      </c>
      <c r="BE4">
        <v>51</v>
      </c>
      <c r="BF4">
        <v>51</v>
      </c>
      <c r="BG4" s="19">
        <v>51</v>
      </c>
    </row>
    <row r="5" spans="2:59" x14ac:dyDescent="0.35">
      <c r="B5" s="3" t="s">
        <v>5</v>
      </c>
      <c r="D5" s="26">
        <v>272</v>
      </c>
      <c r="E5">
        <v>272</v>
      </c>
      <c r="F5">
        <v>272</v>
      </c>
      <c r="G5">
        <v>272</v>
      </c>
      <c r="H5">
        <v>272</v>
      </c>
      <c r="I5">
        <v>272</v>
      </c>
      <c r="J5">
        <v>272</v>
      </c>
      <c r="K5">
        <v>272</v>
      </c>
      <c r="L5">
        <v>272</v>
      </c>
      <c r="M5">
        <v>272</v>
      </c>
      <c r="N5">
        <v>272</v>
      </c>
      <c r="O5">
        <v>272</v>
      </c>
      <c r="P5">
        <v>272</v>
      </c>
      <c r="Q5">
        <v>272</v>
      </c>
      <c r="R5">
        <v>272</v>
      </c>
      <c r="S5" s="19">
        <v>272</v>
      </c>
      <c r="T5" s="26">
        <v>272</v>
      </c>
      <c r="U5">
        <v>272</v>
      </c>
      <c r="V5">
        <v>272</v>
      </c>
      <c r="W5">
        <v>272</v>
      </c>
      <c r="X5">
        <v>272</v>
      </c>
      <c r="Y5" s="46">
        <v>272</v>
      </c>
      <c r="Z5" s="26">
        <v>272</v>
      </c>
      <c r="AA5">
        <v>272</v>
      </c>
      <c r="AB5">
        <v>272</v>
      </c>
      <c r="AC5">
        <v>272</v>
      </c>
      <c r="AD5">
        <v>272</v>
      </c>
      <c r="AE5" s="46">
        <v>272</v>
      </c>
      <c r="AF5" s="26">
        <v>272</v>
      </c>
      <c r="AG5">
        <v>272</v>
      </c>
      <c r="AH5">
        <v>272</v>
      </c>
      <c r="AI5">
        <v>272</v>
      </c>
      <c r="AJ5">
        <v>272</v>
      </c>
      <c r="AK5">
        <v>272</v>
      </c>
      <c r="AL5">
        <v>272</v>
      </c>
      <c r="AM5">
        <v>272</v>
      </c>
      <c r="AN5">
        <v>272</v>
      </c>
      <c r="AO5">
        <v>272</v>
      </c>
      <c r="AP5">
        <v>272</v>
      </c>
      <c r="AQ5">
        <v>272</v>
      </c>
      <c r="AR5">
        <v>272</v>
      </c>
      <c r="AS5">
        <v>272</v>
      </c>
      <c r="AT5">
        <v>272</v>
      </c>
      <c r="AU5" s="19">
        <v>272</v>
      </c>
      <c r="AV5" s="26">
        <v>51</v>
      </c>
      <c r="AW5">
        <v>51</v>
      </c>
      <c r="AX5">
        <v>51</v>
      </c>
      <c r="AY5">
        <v>51</v>
      </c>
      <c r="AZ5">
        <v>51</v>
      </c>
      <c r="BA5" s="19">
        <v>51</v>
      </c>
      <c r="BB5">
        <v>51</v>
      </c>
      <c r="BC5">
        <v>51</v>
      </c>
      <c r="BD5">
        <v>51</v>
      </c>
      <c r="BE5">
        <v>51</v>
      </c>
      <c r="BF5">
        <v>51</v>
      </c>
      <c r="BG5" s="19">
        <v>51</v>
      </c>
    </row>
    <row r="6" spans="2:59" x14ac:dyDescent="0.35">
      <c r="B6" s="3" t="s">
        <v>6</v>
      </c>
      <c r="C6" s="1"/>
      <c r="D6" s="28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  <c r="N6" s="1">
        <v>11</v>
      </c>
      <c r="O6" s="1">
        <v>12</v>
      </c>
      <c r="P6" s="1">
        <v>13</v>
      </c>
      <c r="Q6" s="1">
        <v>14</v>
      </c>
      <c r="R6" s="1">
        <v>15</v>
      </c>
      <c r="S6" s="11">
        <v>16</v>
      </c>
      <c r="T6" s="28">
        <v>1</v>
      </c>
      <c r="U6" s="1">
        <v>2</v>
      </c>
      <c r="V6" s="1">
        <v>3</v>
      </c>
      <c r="W6" s="1">
        <v>4</v>
      </c>
      <c r="X6" s="1">
        <v>5</v>
      </c>
      <c r="Y6" s="47">
        <v>6</v>
      </c>
      <c r="Z6" s="28">
        <v>1</v>
      </c>
      <c r="AA6" s="1">
        <v>2</v>
      </c>
      <c r="AB6" s="1">
        <v>3</v>
      </c>
      <c r="AC6" s="1">
        <v>4</v>
      </c>
      <c r="AD6" s="1">
        <v>5</v>
      </c>
      <c r="AE6" s="47">
        <v>6</v>
      </c>
      <c r="AF6" s="28">
        <v>1</v>
      </c>
      <c r="AG6" s="1">
        <v>2</v>
      </c>
      <c r="AH6" s="1">
        <v>3</v>
      </c>
      <c r="AI6" s="1">
        <v>4</v>
      </c>
      <c r="AJ6" s="1">
        <v>5</v>
      </c>
      <c r="AK6" s="1">
        <v>6</v>
      </c>
      <c r="AL6" s="1">
        <v>7</v>
      </c>
      <c r="AM6" s="1">
        <v>8</v>
      </c>
      <c r="AN6" s="1">
        <v>9</v>
      </c>
      <c r="AO6" s="1">
        <v>10</v>
      </c>
      <c r="AP6" s="1">
        <v>11</v>
      </c>
      <c r="AQ6" s="1">
        <v>12</v>
      </c>
      <c r="AR6" s="1">
        <v>13</v>
      </c>
      <c r="AS6" s="1">
        <v>14</v>
      </c>
      <c r="AT6" s="1">
        <v>15</v>
      </c>
      <c r="AU6" s="11">
        <v>16</v>
      </c>
      <c r="AV6" s="28">
        <v>1</v>
      </c>
      <c r="AW6" s="1">
        <v>2</v>
      </c>
      <c r="AX6" s="1">
        <v>3</v>
      </c>
      <c r="AY6" s="1">
        <v>4</v>
      </c>
      <c r="AZ6" s="1">
        <v>5</v>
      </c>
      <c r="BA6" s="11">
        <v>6</v>
      </c>
      <c r="BB6" s="1">
        <v>1</v>
      </c>
      <c r="BC6" s="1">
        <v>2</v>
      </c>
      <c r="BD6" s="1">
        <v>3</v>
      </c>
      <c r="BE6" s="1">
        <v>4</v>
      </c>
      <c r="BF6" s="1">
        <v>5</v>
      </c>
      <c r="BG6" s="11">
        <v>6</v>
      </c>
    </row>
    <row r="7" spans="2:59" x14ac:dyDescent="0.35">
      <c r="B7" s="3" t="s">
        <v>7</v>
      </c>
      <c r="C7" s="1"/>
      <c r="D7" s="27">
        <f>D11/D5</f>
        <v>6.25E-2</v>
      </c>
      <c r="E7" s="14">
        <f t="shared" ref="E7:S7" si="0">E11/E5</f>
        <v>6.25E-2</v>
      </c>
      <c r="F7" s="14">
        <f t="shared" si="0"/>
        <v>6.25E-2</v>
      </c>
      <c r="G7" s="14">
        <f t="shared" si="0"/>
        <v>6.25E-2</v>
      </c>
      <c r="H7" s="14">
        <f t="shared" si="0"/>
        <v>6.25E-2</v>
      </c>
      <c r="I7" s="14">
        <f t="shared" si="0"/>
        <v>6.25E-2</v>
      </c>
      <c r="J7" s="14">
        <f t="shared" si="0"/>
        <v>6.25E-2</v>
      </c>
      <c r="K7" s="14">
        <f t="shared" si="0"/>
        <v>6.25E-2</v>
      </c>
      <c r="L7" s="14">
        <f t="shared" si="0"/>
        <v>6.25E-2</v>
      </c>
      <c r="M7" s="14">
        <f t="shared" si="0"/>
        <v>6.25E-2</v>
      </c>
      <c r="N7" s="14">
        <f t="shared" si="0"/>
        <v>6.25E-2</v>
      </c>
      <c r="O7" s="14">
        <f t="shared" si="0"/>
        <v>6.25E-2</v>
      </c>
      <c r="P7" s="14">
        <f t="shared" si="0"/>
        <v>6.25E-2</v>
      </c>
      <c r="Q7" s="14">
        <f t="shared" si="0"/>
        <v>6.25E-2</v>
      </c>
      <c r="R7" s="14">
        <f t="shared" si="0"/>
        <v>6.25E-2</v>
      </c>
      <c r="S7" s="15">
        <f t="shared" si="0"/>
        <v>6.25E-2</v>
      </c>
      <c r="T7" s="27">
        <f>T11/T5</f>
        <v>0.16544117647058823</v>
      </c>
      <c r="U7" s="14">
        <f t="shared" ref="U7:Y7" si="1">U11/U5</f>
        <v>0.16544117647058823</v>
      </c>
      <c r="V7" s="14">
        <f t="shared" si="1"/>
        <v>0.16544117647058823</v>
      </c>
      <c r="W7" s="14">
        <f t="shared" si="1"/>
        <v>0.16544117647058823</v>
      </c>
      <c r="X7" s="14">
        <f t="shared" si="1"/>
        <v>0.16544117647058823</v>
      </c>
      <c r="Y7" s="48">
        <f t="shared" si="1"/>
        <v>0.16544117647058823</v>
      </c>
      <c r="Z7" s="27">
        <f>Z11/Z5</f>
        <v>8.0882352941176475E-2</v>
      </c>
      <c r="AA7" s="14">
        <f t="shared" ref="AA7:AE7" si="2">AA11/AA5</f>
        <v>8.0882352941176475E-2</v>
      </c>
      <c r="AB7" s="14">
        <f t="shared" si="2"/>
        <v>8.0882352941176475E-2</v>
      </c>
      <c r="AC7" s="14">
        <f t="shared" si="2"/>
        <v>8.0882352941176475E-2</v>
      </c>
      <c r="AD7" s="14">
        <f t="shared" si="2"/>
        <v>8.0882352941176475E-2</v>
      </c>
      <c r="AE7" s="48">
        <f t="shared" si="2"/>
        <v>8.0882352941176475E-2</v>
      </c>
      <c r="AF7" s="27">
        <f>AF11/AF5</f>
        <v>2.9411764705882353E-2</v>
      </c>
      <c r="AG7" s="14">
        <f t="shared" ref="AG7:AU7" si="3">AG11/AG5</f>
        <v>2.9411764705882353E-2</v>
      </c>
      <c r="AH7" s="14">
        <f t="shared" si="3"/>
        <v>2.9411764705882353E-2</v>
      </c>
      <c r="AI7" s="14">
        <f t="shared" si="3"/>
        <v>2.9411764705882353E-2</v>
      </c>
      <c r="AJ7" s="14">
        <f t="shared" si="3"/>
        <v>2.9411764705882353E-2</v>
      </c>
      <c r="AK7" s="14">
        <f t="shared" si="3"/>
        <v>2.9411764705882353E-2</v>
      </c>
      <c r="AL7" s="14">
        <f t="shared" si="3"/>
        <v>2.9411764705882353E-2</v>
      </c>
      <c r="AM7" s="14">
        <f t="shared" si="3"/>
        <v>2.9411764705882353E-2</v>
      </c>
      <c r="AN7" s="14">
        <f t="shared" si="3"/>
        <v>2.9411764705882353E-2</v>
      </c>
      <c r="AO7" s="14">
        <f t="shared" si="3"/>
        <v>2.9411764705882353E-2</v>
      </c>
      <c r="AP7" s="14">
        <f t="shared" si="3"/>
        <v>2.9411764705882353E-2</v>
      </c>
      <c r="AQ7" s="14">
        <f t="shared" si="3"/>
        <v>2.9411764705882353E-2</v>
      </c>
      <c r="AR7" s="14">
        <f t="shared" si="3"/>
        <v>2.9411764705882353E-2</v>
      </c>
      <c r="AS7" s="14">
        <f t="shared" si="3"/>
        <v>2.9411764705882353E-2</v>
      </c>
      <c r="AT7" s="14">
        <f t="shared" si="3"/>
        <v>2.9411764705882353E-2</v>
      </c>
      <c r="AU7" s="15">
        <f t="shared" si="3"/>
        <v>2.9411764705882353E-2</v>
      </c>
      <c r="AV7" s="27">
        <f t="shared" ref="AV7:BG7" si="4">AV11/AV5</f>
        <v>0.15686274509803921</v>
      </c>
      <c r="AW7" s="14">
        <f t="shared" si="4"/>
        <v>0.15686274509803921</v>
      </c>
      <c r="AX7" s="14">
        <f t="shared" si="4"/>
        <v>0.15686274509803921</v>
      </c>
      <c r="AY7" s="14">
        <f t="shared" si="4"/>
        <v>0.15686274509803921</v>
      </c>
      <c r="AZ7" s="14">
        <f t="shared" si="4"/>
        <v>0.15686274509803921</v>
      </c>
      <c r="BA7" s="15">
        <f t="shared" si="4"/>
        <v>0.15686274509803921</v>
      </c>
      <c r="BB7" s="14">
        <f t="shared" si="4"/>
        <v>7.8431372549019607E-2</v>
      </c>
      <c r="BC7" s="14">
        <f t="shared" si="4"/>
        <v>7.8431372549019607E-2</v>
      </c>
      <c r="BD7" s="14">
        <f t="shared" si="4"/>
        <v>7.8431372549019607E-2</v>
      </c>
      <c r="BE7" s="14">
        <f t="shared" si="4"/>
        <v>7.8431372549019607E-2</v>
      </c>
      <c r="BF7" s="14">
        <f t="shared" si="4"/>
        <v>7.8431372549019607E-2</v>
      </c>
      <c r="BG7" s="15">
        <f t="shared" si="4"/>
        <v>7.8431372549019607E-2</v>
      </c>
    </row>
    <row r="8" spans="2:59" x14ac:dyDescent="0.35">
      <c r="B8" s="4" t="s">
        <v>8</v>
      </c>
      <c r="C8" s="1"/>
      <c r="D8" s="26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 s="19">
        <v>1</v>
      </c>
      <c r="T8" s="26">
        <v>1</v>
      </c>
      <c r="U8">
        <v>1</v>
      </c>
      <c r="V8">
        <v>1</v>
      </c>
      <c r="W8">
        <v>1</v>
      </c>
      <c r="X8">
        <v>1</v>
      </c>
      <c r="Y8" s="46">
        <v>1</v>
      </c>
      <c r="Z8" s="26">
        <v>1</v>
      </c>
      <c r="AA8">
        <v>1</v>
      </c>
      <c r="AB8">
        <v>1</v>
      </c>
      <c r="AC8">
        <v>1</v>
      </c>
      <c r="AD8">
        <v>1</v>
      </c>
      <c r="AE8" s="46">
        <v>1</v>
      </c>
      <c r="AF8" s="26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 s="19">
        <v>1</v>
      </c>
      <c r="AV8" s="26">
        <v>1</v>
      </c>
      <c r="AW8">
        <v>1</v>
      </c>
      <c r="AX8">
        <v>1</v>
      </c>
      <c r="AY8">
        <v>1</v>
      </c>
      <c r="AZ8">
        <v>1</v>
      </c>
      <c r="BA8" s="19">
        <v>1</v>
      </c>
      <c r="BB8">
        <v>1</v>
      </c>
      <c r="BC8">
        <v>1</v>
      </c>
      <c r="BD8">
        <v>1</v>
      </c>
      <c r="BE8">
        <v>1</v>
      </c>
      <c r="BF8">
        <v>1</v>
      </c>
      <c r="BG8" s="19">
        <v>1</v>
      </c>
    </row>
    <row r="9" spans="2:59" x14ac:dyDescent="0.35">
      <c r="B9" s="4" t="s">
        <v>9</v>
      </c>
      <c r="C9" s="1"/>
      <c r="D9" s="26">
        <v>4</v>
      </c>
      <c r="E9">
        <v>4</v>
      </c>
      <c r="F9">
        <v>4</v>
      </c>
      <c r="G9">
        <v>4</v>
      </c>
      <c r="H9">
        <v>4</v>
      </c>
      <c r="I9">
        <v>4</v>
      </c>
      <c r="J9">
        <v>4</v>
      </c>
      <c r="K9">
        <v>4</v>
      </c>
      <c r="L9">
        <v>4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 s="19">
        <v>4</v>
      </c>
      <c r="T9" s="26">
        <v>4</v>
      </c>
      <c r="U9">
        <v>4</v>
      </c>
      <c r="V9">
        <v>4</v>
      </c>
      <c r="W9">
        <v>4</v>
      </c>
      <c r="X9">
        <v>4</v>
      </c>
      <c r="Y9" s="46">
        <v>4</v>
      </c>
      <c r="Z9" s="26">
        <v>4</v>
      </c>
      <c r="AA9">
        <v>4</v>
      </c>
      <c r="AB9">
        <v>4</v>
      </c>
      <c r="AC9">
        <v>4</v>
      </c>
      <c r="AD9">
        <v>4</v>
      </c>
      <c r="AE9" s="46">
        <v>4</v>
      </c>
      <c r="AF9" s="26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 s="19">
        <v>4</v>
      </c>
      <c r="AV9">
        <v>4</v>
      </c>
      <c r="AW9">
        <v>4</v>
      </c>
      <c r="AX9">
        <v>4</v>
      </c>
      <c r="AY9">
        <v>4</v>
      </c>
      <c r="AZ9">
        <v>4</v>
      </c>
      <c r="BA9" s="19">
        <v>4</v>
      </c>
      <c r="BB9">
        <v>4</v>
      </c>
      <c r="BC9">
        <v>4</v>
      </c>
      <c r="BD9">
        <v>4</v>
      </c>
      <c r="BE9">
        <v>4</v>
      </c>
      <c r="BF9">
        <v>4</v>
      </c>
      <c r="BG9" s="19">
        <v>4</v>
      </c>
    </row>
    <row r="10" spans="2:59" x14ac:dyDescent="0.35">
      <c r="B10" s="4" t="s">
        <v>10</v>
      </c>
      <c r="C10" s="1"/>
      <c r="D10" s="26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 s="19">
        <v>2</v>
      </c>
      <c r="T10" s="26">
        <v>2</v>
      </c>
      <c r="U10">
        <v>2</v>
      </c>
      <c r="V10">
        <v>2</v>
      </c>
      <c r="W10">
        <v>2</v>
      </c>
      <c r="X10">
        <v>2</v>
      </c>
      <c r="Y10" s="46">
        <v>2</v>
      </c>
      <c r="Z10" s="26">
        <v>2</v>
      </c>
      <c r="AA10">
        <v>2</v>
      </c>
      <c r="AB10">
        <v>2</v>
      </c>
      <c r="AC10">
        <v>2</v>
      </c>
      <c r="AD10">
        <v>2</v>
      </c>
      <c r="AE10" s="46">
        <v>2</v>
      </c>
      <c r="AF10" s="26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 s="19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 s="19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 s="19">
        <v>2</v>
      </c>
    </row>
    <row r="11" spans="2:59" x14ac:dyDescent="0.35">
      <c r="B11" s="3" t="s">
        <v>11</v>
      </c>
      <c r="C11" s="1"/>
      <c r="D11" s="28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1">
        <v>17</v>
      </c>
      <c r="K11" s="1">
        <v>17</v>
      </c>
      <c r="L11" s="1">
        <v>17</v>
      </c>
      <c r="M11" s="1">
        <v>17</v>
      </c>
      <c r="N11" s="1">
        <v>17</v>
      </c>
      <c r="O11" s="1">
        <v>17</v>
      </c>
      <c r="P11" s="1">
        <v>17</v>
      </c>
      <c r="Q11" s="1">
        <v>17</v>
      </c>
      <c r="R11" s="1">
        <v>17</v>
      </c>
      <c r="S11" s="11">
        <v>17</v>
      </c>
      <c r="T11" s="28">
        <v>45</v>
      </c>
      <c r="U11" s="1">
        <v>45</v>
      </c>
      <c r="V11" s="1">
        <v>45</v>
      </c>
      <c r="W11" s="1">
        <v>45</v>
      </c>
      <c r="X11" s="1">
        <v>45</v>
      </c>
      <c r="Y11" s="47">
        <v>45</v>
      </c>
      <c r="Z11" s="28">
        <v>22</v>
      </c>
      <c r="AA11" s="1">
        <v>22</v>
      </c>
      <c r="AB11" s="1">
        <v>22</v>
      </c>
      <c r="AC11" s="1">
        <v>22</v>
      </c>
      <c r="AD11" s="1">
        <v>22</v>
      </c>
      <c r="AE11" s="1">
        <v>22</v>
      </c>
      <c r="AF11" s="28">
        <v>8</v>
      </c>
      <c r="AG11" s="1">
        <v>8</v>
      </c>
      <c r="AH11" s="1">
        <v>8</v>
      </c>
      <c r="AI11" s="1">
        <v>8</v>
      </c>
      <c r="AJ11" s="1">
        <v>8</v>
      </c>
      <c r="AK11" s="1">
        <v>8</v>
      </c>
      <c r="AL11" s="1">
        <v>8</v>
      </c>
      <c r="AM11" s="1">
        <v>8</v>
      </c>
      <c r="AN11" s="1">
        <v>8</v>
      </c>
      <c r="AO11" s="1">
        <v>8</v>
      </c>
      <c r="AP11" s="1">
        <v>8</v>
      </c>
      <c r="AQ11" s="1">
        <v>8</v>
      </c>
      <c r="AR11" s="1">
        <v>8</v>
      </c>
      <c r="AS11" s="1">
        <v>8</v>
      </c>
      <c r="AT11" s="1">
        <v>8</v>
      </c>
      <c r="AU11" s="11">
        <v>8</v>
      </c>
      <c r="AV11" s="1">
        <v>8</v>
      </c>
      <c r="AW11" s="1">
        <v>8</v>
      </c>
      <c r="AX11" s="1">
        <v>8</v>
      </c>
      <c r="AY11" s="1">
        <v>8</v>
      </c>
      <c r="AZ11" s="1">
        <v>8</v>
      </c>
      <c r="BA11" s="11">
        <v>8</v>
      </c>
      <c r="BB11" s="1">
        <v>4</v>
      </c>
      <c r="BC11" s="1">
        <v>4</v>
      </c>
      <c r="BD11" s="1">
        <v>4</v>
      </c>
      <c r="BE11" s="1">
        <v>4</v>
      </c>
      <c r="BF11" s="1">
        <v>4</v>
      </c>
      <c r="BG11" s="11">
        <v>4</v>
      </c>
    </row>
    <row r="12" spans="2:59" x14ac:dyDescent="0.35">
      <c r="B12" s="3" t="s">
        <v>39</v>
      </c>
      <c r="C12" s="1"/>
      <c r="D12" s="28">
        <v>14</v>
      </c>
      <c r="E12" s="1">
        <v>14</v>
      </c>
      <c r="F12" s="1">
        <v>14</v>
      </c>
      <c r="G12" s="1">
        <v>14</v>
      </c>
      <c r="H12" s="1">
        <v>14</v>
      </c>
      <c r="I12" s="1">
        <v>14</v>
      </c>
      <c r="J12" s="1">
        <v>14</v>
      </c>
      <c r="K12" s="1">
        <v>14</v>
      </c>
      <c r="L12" s="1">
        <v>14</v>
      </c>
      <c r="M12" s="1">
        <v>14</v>
      </c>
      <c r="N12" s="1">
        <v>14</v>
      </c>
      <c r="O12" s="1">
        <v>14</v>
      </c>
      <c r="P12" s="1">
        <v>14</v>
      </c>
      <c r="Q12" s="1">
        <v>14</v>
      </c>
      <c r="R12" s="1">
        <v>14</v>
      </c>
      <c r="S12" s="11">
        <v>14</v>
      </c>
      <c r="T12" s="28">
        <v>14</v>
      </c>
      <c r="U12" s="1">
        <v>14</v>
      </c>
      <c r="V12" s="1">
        <v>14</v>
      </c>
      <c r="W12" s="1">
        <v>14</v>
      </c>
      <c r="X12" s="1">
        <v>14</v>
      </c>
      <c r="Y12" s="47">
        <v>14</v>
      </c>
      <c r="Z12" s="28">
        <v>14</v>
      </c>
      <c r="AA12" s="1">
        <v>14</v>
      </c>
      <c r="AB12" s="1">
        <v>14</v>
      </c>
      <c r="AC12" s="1">
        <v>14</v>
      </c>
      <c r="AD12" s="1">
        <v>14</v>
      </c>
      <c r="AE12" s="47">
        <v>14</v>
      </c>
      <c r="AF12" s="28">
        <v>14</v>
      </c>
      <c r="AG12" s="1">
        <v>14</v>
      </c>
      <c r="AH12" s="1">
        <v>14</v>
      </c>
      <c r="AI12" s="1">
        <v>14</v>
      </c>
      <c r="AJ12" s="1">
        <v>14</v>
      </c>
      <c r="AK12" s="1">
        <v>14</v>
      </c>
      <c r="AL12" s="1">
        <v>14</v>
      </c>
      <c r="AM12" s="1">
        <v>14</v>
      </c>
      <c r="AN12" s="1">
        <v>14</v>
      </c>
      <c r="AO12" s="1">
        <v>14</v>
      </c>
      <c r="AP12" s="1">
        <v>14</v>
      </c>
      <c r="AQ12" s="1">
        <v>14</v>
      </c>
      <c r="AR12" s="1">
        <v>14</v>
      </c>
      <c r="AS12" s="1">
        <v>14</v>
      </c>
      <c r="AT12" s="1">
        <v>14</v>
      </c>
      <c r="AU12" s="11">
        <v>14</v>
      </c>
      <c r="AV12" s="1">
        <v>14</v>
      </c>
      <c r="AW12" s="1">
        <v>14</v>
      </c>
      <c r="AX12" s="1">
        <v>14</v>
      </c>
      <c r="AY12" s="1">
        <v>14</v>
      </c>
      <c r="AZ12" s="1">
        <v>14</v>
      </c>
      <c r="BA12" s="11">
        <v>14</v>
      </c>
      <c r="BB12" s="1">
        <v>14</v>
      </c>
      <c r="BC12" s="1">
        <v>14</v>
      </c>
      <c r="BD12" s="1">
        <v>14</v>
      </c>
      <c r="BE12" s="1">
        <v>14</v>
      </c>
      <c r="BF12" s="1">
        <v>14</v>
      </c>
      <c r="BG12" s="11">
        <v>14</v>
      </c>
    </row>
    <row r="13" spans="2:59" x14ac:dyDescent="0.35">
      <c r="B13" s="3" t="s">
        <v>40</v>
      </c>
      <c r="C13" s="1"/>
      <c r="D13" s="28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1">
        <v>1</v>
      </c>
      <c r="T13" s="28">
        <v>1</v>
      </c>
      <c r="U13" s="1">
        <v>1</v>
      </c>
      <c r="V13" s="1">
        <v>1</v>
      </c>
      <c r="W13" s="1">
        <v>1</v>
      </c>
      <c r="X13" s="1">
        <v>1</v>
      </c>
      <c r="Y13" s="47">
        <v>1</v>
      </c>
      <c r="Z13" s="28">
        <v>1</v>
      </c>
      <c r="AA13" s="1">
        <v>1</v>
      </c>
      <c r="AB13" s="1">
        <v>1</v>
      </c>
      <c r="AC13" s="1">
        <v>1</v>
      </c>
      <c r="AD13" s="1">
        <v>1</v>
      </c>
      <c r="AE13" s="47">
        <v>1</v>
      </c>
      <c r="AF13" s="28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1">
        <v>1</v>
      </c>
      <c r="BB13" s="1">
        <v>1</v>
      </c>
      <c r="BC13" s="1">
        <v>1</v>
      </c>
      <c r="BD13" s="1">
        <v>1</v>
      </c>
      <c r="BE13" s="1">
        <v>1</v>
      </c>
      <c r="BF13" s="1">
        <v>1</v>
      </c>
      <c r="BG13" s="11">
        <v>1</v>
      </c>
    </row>
    <row r="14" spans="2:59" x14ac:dyDescent="0.35">
      <c r="B14" s="5" t="s">
        <v>14</v>
      </c>
      <c r="C14" s="1"/>
      <c r="D14" s="28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1">
        <v>1</v>
      </c>
      <c r="T14" s="28">
        <v>1</v>
      </c>
      <c r="U14" s="1">
        <v>1</v>
      </c>
      <c r="V14" s="1">
        <v>1</v>
      </c>
      <c r="W14" s="1">
        <v>1</v>
      </c>
      <c r="X14" s="1">
        <v>1</v>
      </c>
      <c r="Y14" s="47">
        <v>1</v>
      </c>
      <c r="Z14" s="28">
        <v>1</v>
      </c>
      <c r="AA14" s="1">
        <v>1</v>
      </c>
      <c r="AB14" s="1">
        <v>1</v>
      </c>
      <c r="AC14" s="1">
        <v>1</v>
      </c>
      <c r="AD14" s="1">
        <v>1</v>
      </c>
      <c r="AE14" s="47">
        <v>1</v>
      </c>
      <c r="AF14" s="28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1">
        <v>1</v>
      </c>
      <c r="AV14" s="28">
        <v>1</v>
      </c>
      <c r="AW14" s="1">
        <v>1</v>
      </c>
      <c r="AX14" s="1">
        <v>1</v>
      </c>
      <c r="AY14" s="1">
        <v>1</v>
      </c>
      <c r="AZ14" s="1">
        <v>1</v>
      </c>
      <c r="BA14" s="11">
        <v>1</v>
      </c>
      <c r="BB14" s="1">
        <v>1</v>
      </c>
      <c r="BC14" s="1">
        <v>1</v>
      </c>
      <c r="BD14" s="1">
        <v>1</v>
      </c>
      <c r="BE14" s="1">
        <v>1</v>
      </c>
      <c r="BF14" s="1">
        <v>1</v>
      </c>
      <c r="BG14" s="11">
        <v>1</v>
      </c>
    </row>
    <row r="15" spans="2:59" x14ac:dyDescent="0.35">
      <c r="B15" s="5" t="s">
        <v>15</v>
      </c>
      <c r="C15" s="1"/>
      <c r="D15" s="28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1">
        <v>0</v>
      </c>
      <c r="T15" s="28">
        <v>0</v>
      </c>
      <c r="U15" s="1">
        <v>0</v>
      </c>
      <c r="V15" s="1">
        <v>0</v>
      </c>
      <c r="W15" s="1">
        <v>0</v>
      </c>
      <c r="X15" s="1">
        <v>0</v>
      </c>
      <c r="Y15" s="47">
        <v>0</v>
      </c>
      <c r="Z15" s="28">
        <v>0</v>
      </c>
      <c r="AA15" s="1">
        <v>0</v>
      </c>
      <c r="AB15" s="1">
        <v>0</v>
      </c>
      <c r="AC15" s="1">
        <v>0</v>
      </c>
      <c r="AD15" s="1">
        <v>0</v>
      </c>
      <c r="AE15" s="47">
        <v>0</v>
      </c>
      <c r="AF15" s="28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1">
        <v>0</v>
      </c>
      <c r="AV15" s="28">
        <v>0</v>
      </c>
      <c r="AW15" s="1">
        <v>0</v>
      </c>
      <c r="AX15" s="1">
        <v>0</v>
      </c>
      <c r="AY15" s="1">
        <v>0</v>
      </c>
      <c r="AZ15" s="1">
        <v>0</v>
      </c>
      <c r="BA15" s="1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1">
        <v>0</v>
      </c>
    </row>
    <row r="16" spans="2:59" x14ac:dyDescent="0.35">
      <c r="B16" s="3" t="s">
        <v>16</v>
      </c>
      <c r="C16" s="1"/>
      <c r="D16" s="28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2</v>
      </c>
      <c r="Q16" s="1">
        <v>2</v>
      </c>
      <c r="R16" s="1">
        <v>2</v>
      </c>
      <c r="S16" s="11">
        <v>2</v>
      </c>
      <c r="T16" s="28">
        <v>2</v>
      </c>
      <c r="U16" s="1">
        <v>2</v>
      </c>
      <c r="V16" s="1">
        <v>2</v>
      </c>
      <c r="W16" s="1">
        <v>2</v>
      </c>
      <c r="X16" s="1">
        <v>2</v>
      </c>
      <c r="Y16" s="47">
        <v>2</v>
      </c>
      <c r="Z16" s="28">
        <v>2</v>
      </c>
      <c r="AA16" s="1">
        <v>2</v>
      </c>
      <c r="AB16" s="1">
        <v>2</v>
      </c>
      <c r="AC16" s="1">
        <v>2</v>
      </c>
      <c r="AD16" s="1">
        <v>2</v>
      </c>
      <c r="AE16" s="47">
        <v>2</v>
      </c>
      <c r="AF16" s="28">
        <v>2</v>
      </c>
      <c r="AG16" s="1">
        <v>2</v>
      </c>
      <c r="AH16" s="1">
        <v>2</v>
      </c>
      <c r="AI16" s="1">
        <v>2</v>
      </c>
      <c r="AJ16" s="1">
        <v>2</v>
      </c>
      <c r="AK16" s="1">
        <v>2</v>
      </c>
      <c r="AL16" s="1">
        <v>2</v>
      </c>
      <c r="AM16" s="1">
        <v>2</v>
      </c>
      <c r="AN16" s="1">
        <v>2</v>
      </c>
      <c r="AO16" s="1">
        <v>2</v>
      </c>
      <c r="AP16" s="1">
        <v>2</v>
      </c>
      <c r="AQ16" s="1">
        <v>2</v>
      </c>
      <c r="AR16" s="1">
        <v>2</v>
      </c>
      <c r="AS16" s="1">
        <v>2</v>
      </c>
      <c r="AT16" s="1">
        <v>2</v>
      </c>
      <c r="AU16" s="11">
        <v>2</v>
      </c>
      <c r="AV16" s="28">
        <v>2</v>
      </c>
      <c r="AW16" s="1">
        <v>2</v>
      </c>
      <c r="AX16" s="1">
        <v>2</v>
      </c>
      <c r="AY16" s="1">
        <v>2</v>
      </c>
      <c r="AZ16" s="1">
        <v>2</v>
      </c>
      <c r="BA16" s="11">
        <v>2</v>
      </c>
      <c r="BB16" s="1">
        <v>2</v>
      </c>
      <c r="BC16" s="1">
        <v>2</v>
      </c>
      <c r="BD16" s="1">
        <v>2</v>
      </c>
      <c r="BE16" s="1">
        <v>2</v>
      </c>
      <c r="BF16" s="1">
        <v>2</v>
      </c>
      <c r="BG16" s="11">
        <v>2</v>
      </c>
    </row>
    <row r="17" spans="2:59" x14ac:dyDescent="0.35">
      <c r="B17" s="3" t="s">
        <v>17</v>
      </c>
      <c r="C17" s="1"/>
      <c r="D17" s="28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1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1">
        <v>27</v>
      </c>
      <c r="Q17" s="1">
        <v>27</v>
      </c>
      <c r="R17" s="1">
        <v>27</v>
      </c>
      <c r="S17" s="11">
        <v>27</v>
      </c>
      <c r="T17" s="28">
        <v>27</v>
      </c>
      <c r="U17" s="1">
        <v>27</v>
      </c>
      <c r="V17" s="1">
        <v>27</v>
      </c>
      <c r="W17" s="1">
        <v>27</v>
      </c>
      <c r="X17" s="1">
        <v>27</v>
      </c>
      <c r="Y17" s="47">
        <v>27</v>
      </c>
      <c r="Z17" s="28">
        <v>27</v>
      </c>
      <c r="AA17" s="1">
        <v>27</v>
      </c>
      <c r="AB17" s="1">
        <v>27</v>
      </c>
      <c r="AC17" s="1">
        <v>27</v>
      </c>
      <c r="AD17" s="1">
        <v>27</v>
      </c>
      <c r="AE17" s="47">
        <v>27</v>
      </c>
      <c r="AF17" s="28">
        <v>27</v>
      </c>
      <c r="AG17" s="1">
        <v>27</v>
      </c>
      <c r="AH17" s="1">
        <v>27</v>
      </c>
      <c r="AI17" s="1">
        <v>27</v>
      </c>
      <c r="AJ17" s="1">
        <v>27</v>
      </c>
      <c r="AK17" s="1">
        <v>27</v>
      </c>
      <c r="AL17" s="1">
        <v>27</v>
      </c>
      <c r="AM17" s="1">
        <v>27</v>
      </c>
      <c r="AN17" s="1">
        <v>27</v>
      </c>
      <c r="AO17" s="1">
        <v>27</v>
      </c>
      <c r="AP17" s="1">
        <v>27</v>
      </c>
      <c r="AQ17" s="1">
        <v>27</v>
      </c>
      <c r="AR17" s="1">
        <v>27</v>
      </c>
      <c r="AS17" s="1">
        <v>27</v>
      </c>
      <c r="AT17" s="1">
        <v>27</v>
      </c>
      <c r="AU17" s="11">
        <v>27</v>
      </c>
      <c r="AV17" s="28">
        <v>27</v>
      </c>
      <c r="AW17" s="1">
        <v>27</v>
      </c>
      <c r="AX17" s="1">
        <v>27</v>
      </c>
      <c r="AY17" s="1">
        <v>27</v>
      </c>
      <c r="AZ17" s="1">
        <v>27</v>
      </c>
      <c r="BA17" s="11">
        <v>27</v>
      </c>
      <c r="BB17" s="1">
        <v>27</v>
      </c>
      <c r="BC17" s="1">
        <v>27</v>
      </c>
      <c r="BD17" s="1">
        <v>27</v>
      </c>
      <c r="BE17" s="1">
        <v>27</v>
      </c>
      <c r="BF17" s="1">
        <v>27</v>
      </c>
      <c r="BG17" s="11">
        <v>27</v>
      </c>
    </row>
    <row r="18" spans="2:59" x14ac:dyDescent="0.35">
      <c r="B18" s="3" t="s">
        <v>18</v>
      </c>
      <c r="C18" s="1"/>
      <c r="D18" s="28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1</v>
      </c>
      <c r="Q18" s="1">
        <v>1</v>
      </c>
      <c r="R18" s="1">
        <v>1</v>
      </c>
      <c r="S18" s="11">
        <v>1</v>
      </c>
      <c r="T18" s="28">
        <v>1</v>
      </c>
      <c r="U18" s="1">
        <v>1</v>
      </c>
      <c r="V18" s="1">
        <v>1</v>
      </c>
      <c r="W18" s="1">
        <v>1</v>
      </c>
      <c r="X18" s="1">
        <v>1</v>
      </c>
      <c r="Y18" s="47">
        <v>1</v>
      </c>
      <c r="Z18" s="28">
        <v>1</v>
      </c>
      <c r="AA18" s="1">
        <v>1</v>
      </c>
      <c r="AB18" s="1">
        <v>1</v>
      </c>
      <c r="AC18" s="1">
        <v>1</v>
      </c>
      <c r="AD18" s="1">
        <v>1</v>
      </c>
      <c r="AE18" s="47">
        <v>1</v>
      </c>
      <c r="AF18" s="28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1">
        <v>1</v>
      </c>
      <c r="AQ18" s="1">
        <v>1</v>
      </c>
      <c r="AR18" s="1">
        <v>1</v>
      </c>
      <c r="AS18" s="1">
        <v>1</v>
      </c>
      <c r="AT18" s="1">
        <v>1</v>
      </c>
      <c r="AU18" s="11">
        <v>1</v>
      </c>
      <c r="AV18" s="28">
        <v>1</v>
      </c>
      <c r="AW18" s="1">
        <v>1</v>
      </c>
      <c r="AX18" s="1">
        <v>1</v>
      </c>
      <c r="AY18" s="1">
        <v>1</v>
      </c>
      <c r="AZ18" s="1">
        <v>1</v>
      </c>
      <c r="BA18" s="11">
        <v>1</v>
      </c>
      <c r="BB18" s="1">
        <v>1</v>
      </c>
      <c r="BC18" s="1">
        <v>1</v>
      </c>
      <c r="BD18" s="1">
        <v>1</v>
      </c>
      <c r="BE18" s="1">
        <v>1</v>
      </c>
      <c r="BF18" s="1">
        <v>1</v>
      </c>
      <c r="BG18" s="11">
        <v>1</v>
      </c>
    </row>
    <row r="19" spans="2:59" x14ac:dyDescent="0.35">
      <c r="B19" s="3" t="s">
        <v>19</v>
      </c>
      <c r="C19" s="1"/>
      <c r="D19" s="28">
        <v>2</v>
      </c>
      <c r="E19" s="1">
        <v>2</v>
      </c>
      <c r="F19" s="1">
        <v>2</v>
      </c>
      <c r="G19" s="1">
        <v>2</v>
      </c>
      <c r="H19" s="1">
        <v>2</v>
      </c>
      <c r="I19" s="1">
        <v>2</v>
      </c>
      <c r="J19" s="1">
        <v>2</v>
      </c>
      <c r="K19" s="1">
        <v>2</v>
      </c>
      <c r="L19" s="1">
        <v>2</v>
      </c>
      <c r="M19" s="1">
        <v>2</v>
      </c>
      <c r="N19" s="1">
        <v>2</v>
      </c>
      <c r="O19" s="1">
        <v>2</v>
      </c>
      <c r="P19" s="1">
        <v>2</v>
      </c>
      <c r="Q19" s="1">
        <v>2</v>
      </c>
      <c r="R19" s="1">
        <v>2</v>
      </c>
      <c r="S19" s="11">
        <v>2</v>
      </c>
      <c r="T19" s="28">
        <v>2</v>
      </c>
      <c r="U19" s="1">
        <v>2</v>
      </c>
      <c r="V19" s="1">
        <v>2</v>
      </c>
      <c r="W19" s="1">
        <v>2</v>
      </c>
      <c r="X19" s="1">
        <v>2</v>
      </c>
      <c r="Y19" s="47">
        <v>2</v>
      </c>
      <c r="Z19" s="28">
        <v>2</v>
      </c>
      <c r="AA19" s="1">
        <v>2</v>
      </c>
      <c r="AB19" s="1">
        <v>2</v>
      </c>
      <c r="AC19" s="1">
        <v>2</v>
      </c>
      <c r="AD19" s="1">
        <v>2</v>
      </c>
      <c r="AE19" s="47">
        <v>2</v>
      </c>
      <c r="AF19" s="28">
        <v>2</v>
      </c>
      <c r="AG19" s="1">
        <v>2</v>
      </c>
      <c r="AH19" s="1">
        <v>2</v>
      </c>
      <c r="AI19" s="1">
        <v>2</v>
      </c>
      <c r="AJ19" s="1">
        <v>2</v>
      </c>
      <c r="AK19" s="1">
        <v>2</v>
      </c>
      <c r="AL19" s="1">
        <v>2</v>
      </c>
      <c r="AM19" s="1">
        <v>2</v>
      </c>
      <c r="AN19" s="1">
        <v>2</v>
      </c>
      <c r="AO19" s="1">
        <v>2</v>
      </c>
      <c r="AP19" s="1">
        <v>2</v>
      </c>
      <c r="AQ19" s="1">
        <v>2</v>
      </c>
      <c r="AR19" s="1">
        <v>2</v>
      </c>
      <c r="AS19" s="1">
        <v>2</v>
      </c>
      <c r="AT19" s="1">
        <v>2</v>
      </c>
      <c r="AU19" s="11">
        <v>2</v>
      </c>
      <c r="AV19" s="28">
        <v>2</v>
      </c>
      <c r="AW19" s="1">
        <v>2</v>
      </c>
      <c r="AX19" s="1">
        <v>2</v>
      </c>
      <c r="AY19" s="1">
        <v>2</v>
      </c>
      <c r="AZ19" s="1">
        <v>2</v>
      </c>
      <c r="BA19" s="11">
        <v>2</v>
      </c>
      <c r="BB19" s="1">
        <v>2</v>
      </c>
      <c r="BC19" s="1">
        <v>2</v>
      </c>
      <c r="BD19" s="1">
        <v>2</v>
      </c>
      <c r="BE19" s="1">
        <v>2</v>
      </c>
      <c r="BF19" s="1">
        <v>2</v>
      </c>
      <c r="BG19" s="11">
        <v>2</v>
      </c>
    </row>
    <row r="20" spans="2:59" x14ac:dyDescent="0.35">
      <c r="B20" s="3" t="s">
        <v>20</v>
      </c>
      <c r="C20" s="1"/>
      <c r="D20" s="28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1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N20" s="1" t="s">
        <v>44</v>
      </c>
      <c r="O20" s="1" t="s">
        <v>44</v>
      </c>
      <c r="P20" s="1" t="s">
        <v>44</v>
      </c>
      <c r="Q20" s="1" t="s">
        <v>44</v>
      </c>
      <c r="R20" s="1" t="s">
        <v>44</v>
      </c>
      <c r="S20" s="11" t="s">
        <v>44</v>
      </c>
      <c r="T20" s="28" t="s">
        <v>44</v>
      </c>
      <c r="U20" s="1" t="s">
        <v>44</v>
      </c>
      <c r="V20" s="1" t="s">
        <v>44</v>
      </c>
      <c r="W20" s="1" t="s">
        <v>44</v>
      </c>
      <c r="X20" s="1" t="s">
        <v>44</v>
      </c>
      <c r="Y20" s="47" t="s">
        <v>44</v>
      </c>
      <c r="Z20" s="28" t="s">
        <v>44</v>
      </c>
      <c r="AA20" s="1" t="s">
        <v>44</v>
      </c>
      <c r="AB20" s="1" t="s">
        <v>44</v>
      </c>
      <c r="AC20" s="1" t="s">
        <v>44</v>
      </c>
      <c r="AD20" s="1" t="s">
        <v>44</v>
      </c>
      <c r="AE20" s="47" t="s">
        <v>44</v>
      </c>
      <c r="AF20" s="28" t="s">
        <v>44</v>
      </c>
      <c r="AG20" s="1" t="s">
        <v>44</v>
      </c>
      <c r="AH20" s="1" t="s">
        <v>44</v>
      </c>
      <c r="AI20" s="1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1" t="s">
        <v>44</v>
      </c>
      <c r="AQ20" s="1" t="s">
        <v>44</v>
      </c>
      <c r="AR20" s="1" t="s">
        <v>44</v>
      </c>
      <c r="AS20" s="1" t="s">
        <v>44</v>
      </c>
      <c r="AT20" s="1" t="s">
        <v>44</v>
      </c>
      <c r="AU20" s="11" t="s">
        <v>44</v>
      </c>
      <c r="AV20" s="28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11" t="s">
        <v>44</v>
      </c>
      <c r="BB20" s="1" t="s">
        <v>44</v>
      </c>
      <c r="BC20" s="1" t="s">
        <v>44</v>
      </c>
      <c r="BD20" s="1" t="s">
        <v>44</v>
      </c>
      <c r="BE20" s="1" t="s">
        <v>44</v>
      </c>
      <c r="BF20" s="1" t="s">
        <v>44</v>
      </c>
      <c r="BG20" s="11" t="s">
        <v>44</v>
      </c>
    </row>
    <row r="21" spans="2:59" x14ac:dyDescent="0.35">
      <c r="B21" s="6" t="s">
        <v>22</v>
      </c>
      <c r="C21" s="1"/>
      <c r="D21" s="29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6"/>
      <c r="T21" s="29"/>
      <c r="U21" s="17"/>
      <c r="V21" s="17"/>
      <c r="W21" s="17"/>
      <c r="X21" s="17"/>
      <c r="Y21" s="49"/>
      <c r="Z21" s="29"/>
      <c r="AA21" s="17"/>
      <c r="AB21" s="17"/>
      <c r="AC21" s="17"/>
      <c r="AD21" s="17"/>
      <c r="AE21" s="49"/>
      <c r="AF21" s="29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6"/>
      <c r="AV21" s="29"/>
      <c r="AW21" s="17"/>
      <c r="AX21" s="17"/>
      <c r="AY21" s="17"/>
      <c r="AZ21" s="17"/>
      <c r="BA21" s="16"/>
      <c r="BB21" s="17"/>
      <c r="BC21" s="17"/>
      <c r="BD21" s="17"/>
      <c r="BE21" s="17"/>
      <c r="BF21" s="17"/>
      <c r="BG21" s="16"/>
    </row>
    <row r="22" spans="2:59" x14ac:dyDescent="0.35">
      <c r="B22" s="7" t="s">
        <v>23</v>
      </c>
      <c r="C22" s="1"/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1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1" t="s">
        <v>24</v>
      </c>
      <c r="Q22" s="1" t="s">
        <v>24</v>
      </c>
      <c r="R22" s="1" t="s">
        <v>24</v>
      </c>
      <c r="S22" s="11" t="s">
        <v>24</v>
      </c>
      <c r="T22" s="28" t="s">
        <v>24</v>
      </c>
      <c r="U22" s="1" t="s">
        <v>24</v>
      </c>
      <c r="V22" s="1" t="s">
        <v>24</v>
      </c>
      <c r="W22" s="1" t="s">
        <v>24</v>
      </c>
      <c r="X22" s="1" t="s">
        <v>24</v>
      </c>
      <c r="Y22" s="47" t="s">
        <v>24</v>
      </c>
      <c r="Z22" s="28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47" t="s">
        <v>24</v>
      </c>
      <c r="AF22" s="28" t="s">
        <v>24</v>
      </c>
      <c r="AG22" s="1" t="s">
        <v>24</v>
      </c>
      <c r="AH22" s="1" t="s">
        <v>24</v>
      </c>
      <c r="AI22" s="1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1" t="s">
        <v>24</v>
      </c>
      <c r="AQ22" s="1" t="s">
        <v>24</v>
      </c>
      <c r="AR22" s="1" t="s">
        <v>24</v>
      </c>
      <c r="AS22" s="1" t="s">
        <v>24</v>
      </c>
      <c r="AT22" s="1" t="s">
        <v>24</v>
      </c>
      <c r="AU22" s="11" t="s">
        <v>24</v>
      </c>
      <c r="AV22" s="28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11" t="s">
        <v>24</v>
      </c>
      <c r="BB22" s="1" t="s">
        <v>24</v>
      </c>
      <c r="BC22" s="1" t="s">
        <v>24</v>
      </c>
      <c r="BD22" s="1" t="s">
        <v>24</v>
      </c>
      <c r="BE22" s="1" t="s">
        <v>24</v>
      </c>
      <c r="BF22" s="1" t="s">
        <v>24</v>
      </c>
      <c r="BG22" s="11" t="s">
        <v>24</v>
      </c>
    </row>
    <row r="23" spans="2:59" x14ac:dyDescent="0.35">
      <c r="B23" s="7" t="s">
        <v>25</v>
      </c>
      <c r="C23" s="1"/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28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28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28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1">
        <v>0</v>
      </c>
      <c r="AV23" s="28">
        <v>0</v>
      </c>
      <c r="AW23" s="1">
        <v>0</v>
      </c>
      <c r="AX23" s="1">
        <v>0</v>
      </c>
      <c r="AY23" s="1">
        <v>0</v>
      </c>
      <c r="AZ23" s="1">
        <v>0</v>
      </c>
      <c r="BA23" s="1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1">
        <v>0</v>
      </c>
    </row>
    <row r="24" spans="2:59" x14ac:dyDescent="0.35">
      <c r="B24" s="7" t="s">
        <v>26</v>
      </c>
      <c r="C24" s="1"/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1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1" t="s">
        <v>27</v>
      </c>
      <c r="Q24" s="1" t="s">
        <v>27</v>
      </c>
      <c r="R24" s="1" t="s">
        <v>27</v>
      </c>
      <c r="S24" s="11" t="s">
        <v>27</v>
      </c>
      <c r="T24" s="28" t="s">
        <v>27</v>
      </c>
      <c r="U24" s="1" t="s">
        <v>27</v>
      </c>
      <c r="V24" s="1" t="s">
        <v>27</v>
      </c>
      <c r="W24" s="1" t="s">
        <v>27</v>
      </c>
      <c r="X24" s="1" t="s">
        <v>27</v>
      </c>
      <c r="Y24" s="47" t="s">
        <v>27</v>
      </c>
      <c r="Z24" s="28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47" t="s">
        <v>27</v>
      </c>
      <c r="AF24" s="28" t="s">
        <v>27</v>
      </c>
      <c r="AG24" s="1" t="s">
        <v>27</v>
      </c>
      <c r="AH24" s="1" t="s">
        <v>27</v>
      </c>
      <c r="AI24" s="1" t="s">
        <v>27</v>
      </c>
      <c r="AJ24" s="1" t="s">
        <v>27</v>
      </c>
      <c r="AK24" s="1" t="s">
        <v>27</v>
      </c>
      <c r="AL24" s="1" t="s">
        <v>27</v>
      </c>
      <c r="AM24" s="1" t="s">
        <v>27</v>
      </c>
      <c r="AN24" s="1" t="s">
        <v>27</v>
      </c>
      <c r="AO24" s="1" t="s">
        <v>27</v>
      </c>
      <c r="AP24" s="1" t="s">
        <v>27</v>
      </c>
      <c r="AQ24" s="1" t="s">
        <v>27</v>
      </c>
      <c r="AR24" s="1" t="s">
        <v>27</v>
      </c>
      <c r="AS24" s="1" t="s">
        <v>27</v>
      </c>
      <c r="AT24" s="1" t="s">
        <v>27</v>
      </c>
      <c r="AU24" s="11" t="s">
        <v>27</v>
      </c>
      <c r="AV24" s="28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11" t="s">
        <v>27</v>
      </c>
      <c r="BB24" s="1" t="s">
        <v>27</v>
      </c>
      <c r="BC24" s="1" t="s">
        <v>27</v>
      </c>
      <c r="BD24" s="1" t="s">
        <v>27</v>
      </c>
      <c r="BE24" s="1" t="s">
        <v>27</v>
      </c>
      <c r="BF24" s="1" t="s">
        <v>27</v>
      </c>
      <c r="BG24" s="11" t="s">
        <v>27</v>
      </c>
    </row>
    <row r="25" spans="2:59" x14ac:dyDescent="0.35">
      <c r="B25" s="6" t="s">
        <v>28</v>
      </c>
      <c r="C25" s="1"/>
      <c r="D25" s="29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6"/>
      <c r="T25" s="29"/>
      <c r="U25" s="17"/>
      <c r="V25" s="17"/>
      <c r="W25" s="17"/>
      <c r="X25" s="17"/>
      <c r="Y25" s="49"/>
      <c r="Z25" s="29"/>
      <c r="AA25" s="17"/>
      <c r="AB25" s="17"/>
      <c r="AC25" s="17"/>
      <c r="AD25" s="17"/>
      <c r="AE25" s="49"/>
      <c r="AF25" s="29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6"/>
      <c r="AV25" s="29"/>
      <c r="AW25" s="17"/>
      <c r="AX25" s="17"/>
      <c r="AY25" s="17"/>
      <c r="AZ25" s="17"/>
      <c r="BA25" s="16"/>
      <c r="BB25" s="17"/>
      <c r="BC25" s="17"/>
      <c r="BD25" s="17"/>
      <c r="BE25" s="17"/>
      <c r="BF25" s="17"/>
      <c r="BG25" s="16"/>
    </row>
    <row r="26" spans="2:59" x14ac:dyDescent="0.35">
      <c r="B26" s="8" t="s">
        <v>29</v>
      </c>
      <c r="C26" s="1"/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1" cm="1">
        <f t="array" ref="I26">Comm_MCS_ModOrd(I16,I17)</f>
        <v>8</v>
      </c>
      <c r="J26" s="1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" cm="1">
        <f t="array" ref="O26">Comm_MCS_ModOrd(O16,O17)</f>
        <v>8</v>
      </c>
      <c r="P26" s="1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1" cm="1">
        <f t="array" ref="S26">Comm_MCS_ModOrd(S16,S17)</f>
        <v>8</v>
      </c>
      <c r="T26" s="28" cm="1">
        <f t="array" ref="T26">Comm_MCS_ModOrd(T16,T17)</f>
        <v>8</v>
      </c>
      <c r="U26" s="1" cm="1">
        <f t="array" ref="U26">Comm_MCS_ModOrd(U16,U17)</f>
        <v>8</v>
      </c>
      <c r="V26" s="1" cm="1">
        <f t="array" ref="V26">Comm_MCS_ModOrd(V16,V17)</f>
        <v>8</v>
      </c>
      <c r="W26" s="1" cm="1">
        <f t="array" ref="W26">Comm_MCS_ModOrd(W16,W17)</f>
        <v>8</v>
      </c>
      <c r="X26" s="1" cm="1">
        <f t="array" ref="X26">Comm_MCS_ModOrd(X16,X17)</f>
        <v>8</v>
      </c>
      <c r="Y26" s="47" cm="1">
        <f t="array" ref="Y26">Comm_MCS_ModOrd(Y16,Y17)</f>
        <v>8</v>
      </c>
      <c r="Z26" s="28" cm="1">
        <f t="array" ref="Z26">Comm_MCS_ModOrd(Z16,Z17)</f>
        <v>8</v>
      </c>
      <c r="AA26" s="1" cm="1">
        <f t="array" ref="AA26">Comm_MCS_ModOrd(AA16,AA17)</f>
        <v>8</v>
      </c>
      <c r="AB26" s="1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47" cm="1">
        <f t="array" ref="AE26">Comm_MCS_ModOrd(AE16,AE17)</f>
        <v>8</v>
      </c>
      <c r="AF26" s="28" cm="1">
        <f t="array" ref="AF26">Comm_MCS_ModOrd(AF16,AF17)</f>
        <v>8</v>
      </c>
      <c r="AG26" s="1" cm="1">
        <f t="array" ref="AG26">Comm_MCS_ModOrd(AG16,AG17)</f>
        <v>8</v>
      </c>
      <c r="AH26" s="1" cm="1">
        <f t="array" ref="AH26">Comm_MCS_ModOrd(AH16,AH17)</f>
        <v>8</v>
      </c>
      <c r="AI26" s="1" cm="1">
        <f t="array" ref="AI26">Comm_MCS_ModOrd(AI16,AI17)</f>
        <v>8</v>
      </c>
      <c r="AJ26" s="1" cm="1">
        <f t="array" ref="AJ26">Comm_MCS_ModOrd(AJ16,AJ17)</f>
        <v>8</v>
      </c>
      <c r="AK26" s="1" cm="1">
        <f t="array" ref="AK26">Comm_MCS_ModOrd(AK16,AK17)</f>
        <v>8</v>
      </c>
      <c r="AL26" s="1" cm="1">
        <f t="array" ref="AL26">Comm_MCS_ModOrd(AL16,AL17)</f>
        <v>8</v>
      </c>
      <c r="AM26" s="1" cm="1">
        <f t="array" ref="AM26">Comm_MCS_ModOrd(AM16,AM17)</f>
        <v>8</v>
      </c>
      <c r="AN26" s="1" cm="1">
        <f t="array" ref="AN26">Comm_MCS_ModOrd(AN16,AN17)</f>
        <v>8</v>
      </c>
      <c r="AO26" s="1" cm="1">
        <f t="array" ref="AO26">Comm_MCS_ModOrd(AO16,AO17)</f>
        <v>8</v>
      </c>
      <c r="AP26" s="1" cm="1">
        <f t="array" ref="AP26">Comm_MCS_ModOrd(AP16,AP17)</f>
        <v>8</v>
      </c>
      <c r="AQ26" s="1" cm="1">
        <f t="array" ref="AQ26">Comm_MCS_ModOrd(AQ16,AQ17)</f>
        <v>8</v>
      </c>
      <c r="AR26" s="1" cm="1">
        <f t="array" ref="AR26">Comm_MCS_ModOrd(AR16,AR17)</f>
        <v>8</v>
      </c>
      <c r="AS26" s="1" cm="1">
        <f t="array" ref="AS26">Comm_MCS_ModOrd(AS16,AS17)</f>
        <v>8</v>
      </c>
      <c r="AT26" s="1" cm="1">
        <f t="array" ref="AT26">Comm_MCS_ModOrd(AT16,AT17)</f>
        <v>8</v>
      </c>
      <c r="AU26" s="11" cm="1">
        <f t="array" ref="AU26">Comm_MCS_ModOrd(AU16,AU17)</f>
        <v>8</v>
      </c>
      <c r="AV26" s="28" cm="1">
        <f t="array" ref="AV26">Comm_MCS_ModOrd(AV16,AV17)</f>
        <v>8</v>
      </c>
      <c r="AW26" s="1" cm="1">
        <f t="array" ref="AW26">Comm_MCS_ModOrd(AW16,AW17)</f>
        <v>8</v>
      </c>
      <c r="AX26" s="1" cm="1">
        <f t="array" ref="AX26">Comm_MCS_ModOrd(AX16,AX17)</f>
        <v>8</v>
      </c>
      <c r="AY26" s="1" cm="1">
        <f t="array" ref="AY26">Comm_MCS_ModOrd(AY16,AY17)</f>
        <v>8</v>
      </c>
      <c r="AZ26" s="1" cm="1">
        <f t="array" ref="AZ26">Comm_MCS_ModOrd(AZ16,AZ17)</f>
        <v>8</v>
      </c>
      <c r="BA26" s="11" cm="1">
        <f t="array" ref="BA26">Comm_MCS_ModOrd(BA16,BA17)</f>
        <v>8</v>
      </c>
      <c r="BB26" s="1" cm="1">
        <f t="array" ref="BB26">Comm_MCS_ModOrd(BB16,BB17)</f>
        <v>8</v>
      </c>
      <c r="BC26" s="1" cm="1">
        <f t="array" ref="BC26">Comm_MCS_ModOrd(BC16,BC17)</f>
        <v>8</v>
      </c>
      <c r="BD26" s="1" cm="1">
        <f t="array" ref="BD26">Comm_MCS_ModOrd(BD16,BD17)</f>
        <v>8</v>
      </c>
      <c r="BE26" s="1" cm="1">
        <f t="array" ref="BE26">Comm_MCS_ModOrd(BE16,BE17)</f>
        <v>8</v>
      </c>
      <c r="BF26" s="1" cm="1">
        <f t="array" ref="BF26">Comm_MCS_ModOrd(BF16,BF17)</f>
        <v>8</v>
      </c>
      <c r="BG26" s="11" cm="1">
        <f t="array" ref="BG26">Comm_MCS_ModOrd(BG16,BG17)</f>
        <v>8</v>
      </c>
    </row>
    <row r="27" spans="2:59" x14ac:dyDescent="0.35">
      <c r="B27" s="8" t="s">
        <v>30</v>
      </c>
      <c r="C27" s="1"/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1" cm="1">
        <f t="array" ref="I27">Comm_MCS_CodeRate(I16,I17)</f>
        <v>948</v>
      </c>
      <c r="J27" s="1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" cm="1">
        <f t="array" ref="O27">Comm_MCS_CodeRate(O16,O17)</f>
        <v>948</v>
      </c>
      <c r="P27" s="1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1" cm="1">
        <f t="array" ref="S27">Comm_MCS_CodeRate(S16,S17)</f>
        <v>948</v>
      </c>
      <c r="T27" s="28" cm="1">
        <f t="array" ref="T27">Comm_MCS_CodeRate(T16,T17)</f>
        <v>948</v>
      </c>
      <c r="U27" s="1" cm="1">
        <f t="array" ref="U27">Comm_MCS_CodeRate(U16,U17)</f>
        <v>948</v>
      </c>
      <c r="V27" s="1" cm="1">
        <f t="array" ref="V27">Comm_MCS_CodeRate(V16,V17)</f>
        <v>948</v>
      </c>
      <c r="W27" s="1" cm="1">
        <f t="array" ref="W27">Comm_MCS_CodeRate(W16,W17)</f>
        <v>948</v>
      </c>
      <c r="X27" s="1" cm="1">
        <f t="array" ref="X27">Comm_MCS_CodeRate(X16,X17)</f>
        <v>948</v>
      </c>
      <c r="Y27" s="47" cm="1">
        <f t="array" ref="Y27">Comm_MCS_CodeRate(Y16,Y17)</f>
        <v>948</v>
      </c>
      <c r="Z27" s="28" cm="1">
        <f t="array" ref="Z27">Comm_MCS_CodeRate(Z16,Z17)</f>
        <v>948</v>
      </c>
      <c r="AA27" s="1" cm="1">
        <f t="array" ref="AA27">Comm_MCS_CodeRate(AA16,AA17)</f>
        <v>948</v>
      </c>
      <c r="AB27" s="1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47" cm="1">
        <f t="array" ref="AE27">Comm_MCS_CodeRate(AE16,AE17)</f>
        <v>948</v>
      </c>
      <c r="AF27" s="28" cm="1">
        <f t="array" ref="AF27">Comm_MCS_CodeRate(AF16,AF17)</f>
        <v>948</v>
      </c>
      <c r="AG27" s="1" cm="1">
        <f t="array" ref="AG27">Comm_MCS_CodeRate(AG16,AG17)</f>
        <v>948</v>
      </c>
      <c r="AH27" s="1" cm="1">
        <f t="array" ref="AH27">Comm_MCS_CodeRate(AH16,AH17)</f>
        <v>948</v>
      </c>
      <c r="AI27" s="1" cm="1">
        <f t="array" ref="AI27">Comm_MCS_CodeRate(AI16,AI17)</f>
        <v>948</v>
      </c>
      <c r="AJ27" s="1" cm="1">
        <f t="array" ref="AJ27">Comm_MCS_CodeRate(AJ16,AJ17)</f>
        <v>948</v>
      </c>
      <c r="AK27" s="1" cm="1">
        <f t="array" ref="AK27">Comm_MCS_CodeRate(AK16,AK17)</f>
        <v>948</v>
      </c>
      <c r="AL27" s="1" cm="1">
        <f t="array" ref="AL27">Comm_MCS_CodeRate(AL16,AL17)</f>
        <v>948</v>
      </c>
      <c r="AM27" s="1" cm="1">
        <f t="array" ref="AM27">Comm_MCS_CodeRate(AM16,AM17)</f>
        <v>948</v>
      </c>
      <c r="AN27" s="1" cm="1">
        <f t="array" ref="AN27">Comm_MCS_CodeRate(AN16,AN17)</f>
        <v>948</v>
      </c>
      <c r="AO27" s="1" cm="1">
        <f t="array" ref="AO27">Comm_MCS_CodeRate(AO16,AO17)</f>
        <v>948</v>
      </c>
      <c r="AP27" s="1" cm="1">
        <f t="array" ref="AP27">Comm_MCS_CodeRate(AP16,AP17)</f>
        <v>948</v>
      </c>
      <c r="AQ27" s="1" cm="1">
        <f t="array" ref="AQ27">Comm_MCS_CodeRate(AQ16,AQ17)</f>
        <v>948</v>
      </c>
      <c r="AR27" s="1" cm="1">
        <f t="array" ref="AR27">Comm_MCS_CodeRate(AR16,AR17)</f>
        <v>948</v>
      </c>
      <c r="AS27" s="1" cm="1">
        <f t="array" ref="AS27">Comm_MCS_CodeRate(AS16,AS17)</f>
        <v>948</v>
      </c>
      <c r="AT27" s="1" cm="1">
        <f t="array" ref="AT27">Comm_MCS_CodeRate(AT16,AT17)</f>
        <v>948</v>
      </c>
      <c r="AU27" s="11" cm="1">
        <f t="array" ref="AU27">Comm_MCS_CodeRate(AU16,AU17)</f>
        <v>948</v>
      </c>
      <c r="AV27" s="28" cm="1">
        <f t="array" ref="AV27">Comm_MCS_CodeRate(AV16,AV17)</f>
        <v>948</v>
      </c>
      <c r="AW27" s="1" cm="1">
        <f t="array" ref="AW27">Comm_MCS_CodeRate(AW16,AW17)</f>
        <v>948</v>
      </c>
      <c r="AX27" s="1" cm="1">
        <f t="array" ref="AX27">Comm_MCS_CodeRate(AX16,AX17)</f>
        <v>948</v>
      </c>
      <c r="AY27" s="1" cm="1">
        <f t="array" ref="AY27">Comm_MCS_CodeRate(AY16,AY17)</f>
        <v>948</v>
      </c>
      <c r="AZ27" s="1" cm="1">
        <f t="array" ref="AZ27">Comm_MCS_CodeRate(AZ16,AZ17)</f>
        <v>948</v>
      </c>
      <c r="BA27" s="11" cm="1">
        <f t="array" ref="BA27">Comm_MCS_CodeRate(BA16,BA17)</f>
        <v>948</v>
      </c>
      <c r="BB27" s="1" cm="1">
        <f t="array" ref="BB27">Comm_MCS_CodeRate(BB16,BB17)</f>
        <v>948</v>
      </c>
      <c r="BC27" s="1" cm="1">
        <f t="array" ref="BC27">Comm_MCS_CodeRate(BC16,BC17)</f>
        <v>948</v>
      </c>
      <c r="BD27" s="1" cm="1">
        <f t="array" ref="BD27">Comm_MCS_CodeRate(BD16,BD17)</f>
        <v>948</v>
      </c>
      <c r="BE27" s="1" cm="1">
        <f t="array" ref="BE27">Comm_MCS_CodeRate(BE16,BE17)</f>
        <v>948</v>
      </c>
      <c r="BF27" s="1" cm="1">
        <f t="array" ref="BF27">Comm_MCS_CodeRate(BF16,BF17)</f>
        <v>948</v>
      </c>
      <c r="BG27" s="11" cm="1">
        <f t="array" ref="BG27">Comm_MCS_CodeRate(BG16,BG17)</f>
        <v>948</v>
      </c>
    </row>
    <row r="28" spans="2:59" x14ac:dyDescent="0.35">
      <c r="B28" s="9" t="s">
        <v>31</v>
      </c>
      <c r="C28" s="1"/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1" cm="1">
        <f t="array" ref="I28">Comm_Z(I11,I26,I27,I12,I13,I10/I18)</f>
        <v>384</v>
      </c>
      <c r="J28" s="1" cm="1">
        <f t="array" ref="J28">Comm_Z(J11,J26,J27,J12,J13,J10/J18)</f>
        <v>384</v>
      </c>
      <c r="K28" s="1" cm="1">
        <f t="array" ref="K28">Comm_Z(K11,K26,K27,K12,K13,K10/K18)</f>
        <v>384</v>
      </c>
      <c r="L28" s="1" cm="1">
        <f t="array" ref="L28">Comm_Z(L11,L26,L27,L12,L13,L10/L18)</f>
        <v>384</v>
      </c>
      <c r="M28" s="1" cm="1">
        <f t="array" ref="M28">Comm_Z(M11,M26,M27,M12,M13,M10/M18)</f>
        <v>384</v>
      </c>
      <c r="N28" s="1" cm="1">
        <f t="array" ref="N28">Comm_Z(N11,N26,N27,N12,N13,N10/N18)</f>
        <v>384</v>
      </c>
      <c r="O28" s="1" cm="1">
        <f t="array" ref="O28">Comm_Z(O11,O26,O27,O12,O13,O10/O18)</f>
        <v>384</v>
      </c>
      <c r="P28" s="1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1" cm="1">
        <f t="array" ref="S28">Comm_Z(S11,S26,S27,S12,S13,S10/S18)</f>
        <v>384</v>
      </c>
      <c r="T28" s="28" cm="1">
        <f t="array" ref="T28">Comm_Z(T11,T26,T27,T12,T13,T10/T18)</f>
        <v>384</v>
      </c>
      <c r="U28" s="1" cm="1">
        <f t="array" ref="U28">Comm_Z(U11,U26,U27,U12,U13,U10/U18)</f>
        <v>384</v>
      </c>
      <c r="V28" s="1" cm="1">
        <f t="array" ref="V28">Comm_Z(V11,V26,V27,V12,V13,V10/V18)</f>
        <v>384</v>
      </c>
      <c r="W28" s="1" cm="1">
        <f t="array" ref="W28">Comm_Z(W11,W26,W27,W12,W13,W10/W18)</f>
        <v>384</v>
      </c>
      <c r="X28" s="1" cm="1">
        <f t="array" ref="X28">Comm_Z(X11,X26,X27,X12,X13,X10/X18)</f>
        <v>384</v>
      </c>
      <c r="Y28" s="47" cm="1">
        <f t="array" ref="Y28">Comm_Z(Y11,Y26,Y27,Y12,Y13,Y10/Y18)</f>
        <v>384</v>
      </c>
      <c r="Z28" s="28" cm="1">
        <f t="array" ref="Z28">Comm_Z(Z11,Z26,Z27,Z12,Z13,Z10/Z18)</f>
        <v>352</v>
      </c>
      <c r="AA28" s="1" cm="1">
        <f t="array" ref="AA28">Comm_Z(AA11,AA26,AA27,AA12,AA13,AA10/AA18)</f>
        <v>352</v>
      </c>
      <c r="AB28" s="1" cm="1">
        <f t="array" ref="AB28">Comm_Z(AB11,AB26,AB27,AB12,AB13,AB10/AB18)</f>
        <v>352</v>
      </c>
      <c r="AC28" s="1" cm="1">
        <f t="array" ref="AC28">Comm_Z(AC11,AC26,AC27,AC12,AC13,AC10/AC18)</f>
        <v>352</v>
      </c>
      <c r="AD28" s="1" cm="1">
        <f t="array" ref="AD28">Comm_Z(AD11,AD26,AD27,AD12,AD13,AD10/AD18)</f>
        <v>352</v>
      </c>
      <c r="AE28" s="47" cm="1">
        <f t="array" ref="AE28">Comm_Z(AE11,AE26,AE27,AE12,AE13,AE10/AE18)</f>
        <v>352</v>
      </c>
      <c r="AF28" s="28" cm="1">
        <f t="array" ref="AF28">Comm_Z(AF11,AF26,AF27,AF12,AF13,AF10/AF18)</f>
        <v>288</v>
      </c>
      <c r="AG28" s="1" cm="1">
        <f t="array" ref="AG28">Comm_Z(AG11,AG26,AG27,AG12,AG13,AG10/AG18)</f>
        <v>288</v>
      </c>
      <c r="AH28" s="1" cm="1">
        <f t="array" ref="AH28">Comm_Z(AH11,AH26,AH27,AH12,AH13,AH10/AH18)</f>
        <v>288</v>
      </c>
      <c r="AI28" s="1" cm="1">
        <f t="array" ref="AI28">Comm_Z(AI11,AI26,AI27,AI12,AI13,AI10/AI18)</f>
        <v>288</v>
      </c>
      <c r="AJ28" s="1" cm="1">
        <f t="array" ref="AJ28">Comm_Z(AJ11,AJ26,AJ27,AJ12,AJ13,AJ10/AJ18)</f>
        <v>288</v>
      </c>
      <c r="AK28" s="1" cm="1">
        <f t="array" ref="AK28">Comm_Z(AK11,AK26,AK27,AK12,AK13,AK10/AK18)</f>
        <v>288</v>
      </c>
      <c r="AL28" s="1" cm="1">
        <f t="array" ref="AL28">Comm_Z(AL11,AL26,AL27,AL12,AL13,AL10/AL18)</f>
        <v>288</v>
      </c>
      <c r="AM28" s="1" cm="1">
        <f t="array" ref="AM28">Comm_Z(AM11,AM26,AM27,AM12,AM13,AM10/AM18)</f>
        <v>288</v>
      </c>
      <c r="AN28" s="1" cm="1">
        <f t="array" ref="AN28">Comm_Z(AN11,AN26,AN27,AN12,AN13,AN10/AN18)</f>
        <v>288</v>
      </c>
      <c r="AO28" s="1" cm="1">
        <f t="array" ref="AO28">Comm_Z(AO11,AO26,AO27,AO12,AO13,AO10/AO18)</f>
        <v>288</v>
      </c>
      <c r="AP28" s="1" cm="1">
        <f t="array" ref="AP28">Comm_Z(AP11,AP26,AP27,AP12,AP13,AP10/AP18)</f>
        <v>288</v>
      </c>
      <c r="AQ28" s="1" cm="1">
        <f t="array" ref="AQ28">Comm_Z(AQ11,AQ26,AQ27,AQ12,AQ13,AQ10/AQ18)</f>
        <v>288</v>
      </c>
      <c r="AR28" s="1" cm="1">
        <f t="array" ref="AR28">Comm_Z(AR11,AR26,AR27,AR12,AR13,AR10/AR18)</f>
        <v>288</v>
      </c>
      <c r="AS28" s="1" cm="1">
        <f t="array" ref="AS28">Comm_Z(AS11,AS26,AS27,AS12,AS13,AS10/AS18)</f>
        <v>288</v>
      </c>
      <c r="AT28" s="1" cm="1">
        <f t="array" ref="AT28">Comm_Z(AT11,AT26,AT27,AT12,AT13,AT10/AT18)</f>
        <v>288</v>
      </c>
      <c r="AU28" s="11" cm="1">
        <f t="array" ref="AU28">Comm_Z(AU11,AU26,AU27,AU12,AU13,AU10/AU18)</f>
        <v>288</v>
      </c>
      <c r="AV28" s="28" cm="1">
        <f t="array" ref="AV28">Comm_Z(AV11,AV26,AV27,AV12,AV13,AV10/AV18)</f>
        <v>288</v>
      </c>
      <c r="AW28" s="1" cm="1">
        <f t="array" ref="AW28">Comm_Z(AW11,AW26,AW27,AW12,AW13,AW10/AW18)</f>
        <v>288</v>
      </c>
      <c r="AX28" s="1" cm="1">
        <f t="array" ref="AX28">Comm_Z(AX11,AX26,AX27,AX12,AX13,AX10/AX18)</f>
        <v>288</v>
      </c>
      <c r="AY28" s="1" cm="1">
        <f t="array" ref="AY28">Comm_Z(AY11,AY26,AY27,AY12,AY13,AY10/AY18)</f>
        <v>288</v>
      </c>
      <c r="AZ28" s="1" cm="1">
        <f t="array" ref="AZ28">Comm_Z(AZ11,AZ26,AZ27,AZ12,AZ13,AZ10/AZ18)</f>
        <v>288</v>
      </c>
      <c r="BA28" s="11" cm="1">
        <f t="array" ref="BA28">Comm_Z(BA11,BA26,BA27,BA12,BA13,BA10/BA18)</f>
        <v>288</v>
      </c>
      <c r="BB28" s="1" cm="1">
        <f t="array" ref="BB28">Comm_Z(BB11,BB26,BB27,BB12,BB13,BB10/BB18)</f>
        <v>224</v>
      </c>
      <c r="BC28" s="1" cm="1">
        <f t="array" ref="BC28">Comm_Z(BC11,BC26,BC27,BC12,BC13,BC10/BC18)</f>
        <v>224</v>
      </c>
      <c r="BD28" s="1" cm="1">
        <f t="array" ref="BD28">Comm_Z(BD11,BD26,BD27,BD12,BD13,BD10/BD18)</f>
        <v>224</v>
      </c>
      <c r="BE28" s="1" cm="1">
        <f t="array" ref="BE28">Comm_Z(BE11,BE26,BE27,BE12,BE13,BE10/BE18)</f>
        <v>224</v>
      </c>
      <c r="BF28" s="1" cm="1">
        <f t="array" ref="BF28">Comm_Z(BF11,BF26,BF27,BF12,BF13,BF10/BF18)</f>
        <v>224</v>
      </c>
      <c r="BG28" s="11" cm="1">
        <f t="array" ref="BG28">Comm_Z(BG11,BG26,BG27,BG12,BG13,BG10/BG18)</f>
        <v>224</v>
      </c>
    </row>
    <row r="29" spans="2:59" x14ac:dyDescent="0.35">
      <c r="B29" s="9" t="s">
        <v>32</v>
      </c>
      <c r="C29" s="1"/>
      <c r="D29" s="28" cm="1">
        <f t="array" ref="D29">Comm_TBS(D11,D26,D27,D12,D13,D10/D18)</f>
        <v>38936</v>
      </c>
      <c r="E29" s="1" cm="1">
        <f t="array" ref="E29">Comm_TBS(E11,E26,E27,E12,E13,E10/E18)</f>
        <v>38936</v>
      </c>
      <c r="F29" s="1" cm="1">
        <f t="array" ref="F29">Comm_TBS(F11,F26,F27,F12,F13,F10/F18)</f>
        <v>38936</v>
      </c>
      <c r="G29" s="1" cm="1">
        <f t="array" ref="G29">Comm_TBS(G11,G26,G27,G12,G13,G10/G18)</f>
        <v>38936</v>
      </c>
      <c r="H29" s="1" cm="1">
        <f t="array" ref="H29">Comm_TBS(H11,H26,H27,H12,H13,H10/H18)</f>
        <v>38936</v>
      </c>
      <c r="I29" s="1" cm="1">
        <f t="array" ref="I29">Comm_TBS(I11,I26,I27,I12,I13,I10/I18)</f>
        <v>38936</v>
      </c>
      <c r="J29" s="1" cm="1">
        <f t="array" ref="J29">Comm_TBS(J11,J26,J27,J12,J13,J10/J18)</f>
        <v>38936</v>
      </c>
      <c r="K29" s="1" cm="1">
        <f t="array" ref="K29">Comm_TBS(K11,K26,K27,K12,K13,K10/K18)</f>
        <v>38936</v>
      </c>
      <c r="L29" s="1" cm="1">
        <f t="array" ref="L29">Comm_TBS(L11,L26,L27,L12,L13,L10/L18)</f>
        <v>38936</v>
      </c>
      <c r="M29" s="1" cm="1">
        <f t="array" ref="M29">Comm_TBS(M11,M26,M27,M12,M13,M10/M18)</f>
        <v>38936</v>
      </c>
      <c r="N29" s="1" cm="1">
        <f t="array" ref="N29">Comm_TBS(N11,N26,N27,N12,N13,N10/N18)</f>
        <v>38936</v>
      </c>
      <c r="O29" s="1" cm="1">
        <f t="array" ref="O29">Comm_TBS(O11,O26,O27,O12,O13,O10/O18)</f>
        <v>38936</v>
      </c>
      <c r="P29" s="1" cm="1">
        <f t="array" ref="P29">Comm_TBS(P11,P26,P27,P12,P13,P10/P18)</f>
        <v>38936</v>
      </c>
      <c r="Q29" s="1" cm="1">
        <f t="array" ref="Q29">Comm_TBS(Q11,Q26,Q27,Q12,Q13,Q10/Q18)</f>
        <v>38936</v>
      </c>
      <c r="R29" s="1" cm="1">
        <f t="array" ref="R29">Comm_TBS(R11,R26,R27,R12,R13,R10/R18)</f>
        <v>38936</v>
      </c>
      <c r="S29" s="11" cm="1">
        <f t="array" ref="S29">Comm_TBS(S11,S26,S27,S12,S13,S10/S18)</f>
        <v>38936</v>
      </c>
      <c r="T29" s="28" cm="1">
        <f t="array" ref="T29">Comm_TBS(T11,T26,T27,T12,T13,T10/T18)</f>
        <v>104496</v>
      </c>
      <c r="U29" s="1" cm="1">
        <f t="array" ref="U29">Comm_TBS(U11,U26,U27,U12,U13,U10/U18)</f>
        <v>104496</v>
      </c>
      <c r="V29" s="1" cm="1">
        <f t="array" ref="V29">Comm_TBS(V11,V26,V27,V12,V13,V10/V18)</f>
        <v>104496</v>
      </c>
      <c r="W29" s="1" cm="1">
        <f t="array" ref="W29">Comm_TBS(W11,W26,W27,W12,W13,W10/W18)</f>
        <v>104496</v>
      </c>
      <c r="X29" s="1" cm="1">
        <f t="array" ref="X29">Comm_TBS(X11,X26,X27,X12,X13,X10/X18)</f>
        <v>104496</v>
      </c>
      <c r="Y29" s="47" cm="1">
        <f t="array" ref="Y29">Comm_TBS(Y11,Y26,Y27,Y12,Y13,Y10/Y18)</f>
        <v>104496</v>
      </c>
      <c r="Z29" s="28" cm="1">
        <f t="array" ref="Z29">Comm_TBS(Z11,Z26,Z27,Z12,Z13,Z10/Z18)</f>
        <v>51216</v>
      </c>
      <c r="AA29" s="1" cm="1">
        <f t="array" ref="AA29">Comm_TBS(AA11,AA26,AA27,AA12,AA13,AA10/AA18)</f>
        <v>51216</v>
      </c>
      <c r="AB29" s="1" cm="1">
        <f t="array" ref="AB29">Comm_TBS(AB11,AB26,AB27,AB12,AB13,AB10/AB18)</f>
        <v>51216</v>
      </c>
      <c r="AC29" s="1" cm="1">
        <f t="array" ref="AC29">Comm_TBS(AC11,AC26,AC27,AC12,AC13,AC10/AC18)</f>
        <v>51216</v>
      </c>
      <c r="AD29" s="1" cm="1">
        <f t="array" ref="AD29">Comm_TBS(AD11,AD26,AD27,AD12,AD13,AD10/AD18)</f>
        <v>51216</v>
      </c>
      <c r="AE29" s="47" cm="1">
        <f t="array" ref="AE29">Comm_TBS(AE11,AE26,AE27,AE12,AE13,AE10/AE18)</f>
        <v>51216</v>
      </c>
      <c r="AF29" s="28" cm="1">
        <f t="array" ref="AF29">Comm_TBS(AF11,AF26,AF27,AF12,AF13,AF10/AF18)</f>
        <v>18432</v>
      </c>
      <c r="AG29" s="1" cm="1">
        <f t="array" ref="AG29">Comm_TBS(AG11,AG26,AG27,AG12,AG13,AG10/AG18)</f>
        <v>18432</v>
      </c>
      <c r="AH29" s="1" cm="1">
        <f t="array" ref="AH29">Comm_TBS(AH11,AH26,AH27,AH12,AH13,AH10/AH18)</f>
        <v>18432</v>
      </c>
      <c r="AI29" s="1" cm="1">
        <f t="array" ref="AI29">Comm_TBS(AI11,AI26,AI27,AI12,AI13,AI10/AI18)</f>
        <v>18432</v>
      </c>
      <c r="AJ29" s="1" cm="1">
        <f t="array" ref="AJ29">Comm_TBS(AJ11,AJ26,AJ27,AJ12,AJ13,AJ10/AJ18)</f>
        <v>18432</v>
      </c>
      <c r="AK29" s="1" cm="1">
        <f t="array" ref="AK29">Comm_TBS(AK11,AK26,AK27,AK12,AK13,AK10/AK18)</f>
        <v>18432</v>
      </c>
      <c r="AL29" s="1" cm="1">
        <f t="array" ref="AL29">Comm_TBS(AL11,AL26,AL27,AL12,AL13,AL10/AL18)</f>
        <v>18432</v>
      </c>
      <c r="AM29" s="1" cm="1">
        <f t="array" ref="AM29">Comm_TBS(AM11,AM26,AM27,AM12,AM13,AM10/AM18)</f>
        <v>18432</v>
      </c>
      <c r="AN29" s="1" cm="1">
        <f t="array" ref="AN29">Comm_TBS(AN11,AN26,AN27,AN12,AN13,AN10/AN18)</f>
        <v>18432</v>
      </c>
      <c r="AO29" s="1" cm="1">
        <f t="array" ref="AO29">Comm_TBS(AO11,AO26,AO27,AO12,AO13,AO10/AO18)</f>
        <v>18432</v>
      </c>
      <c r="AP29" s="1" cm="1">
        <f t="array" ref="AP29">Comm_TBS(AP11,AP26,AP27,AP12,AP13,AP10/AP18)</f>
        <v>18432</v>
      </c>
      <c r="AQ29" s="1" cm="1">
        <f t="array" ref="AQ29">Comm_TBS(AQ11,AQ26,AQ27,AQ12,AQ13,AQ10/AQ18)</f>
        <v>18432</v>
      </c>
      <c r="AR29" s="1" cm="1">
        <f t="array" ref="AR29">Comm_TBS(AR11,AR26,AR27,AR12,AR13,AR10/AR18)</f>
        <v>18432</v>
      </c>
      <c r="AS29" s="1" cm="1">
        <f t="array" ref="AS29">Comm_TBS(AS11,AS26,AS27,AS12,AS13,AS10/AS18)</f>
        <v>18432</v>
      </c>
      <c r="AT29" s="1" cm="1">
        <f t="array" ref="AT29">Comm_TBS(AT11,AT26,AT27,AT12,AT13,AT10/AT18)</f>
        <v>18432</v>
      </c>
      <c r="AU29" s="11" cm="1">
        <f t="array" ref="AU29">Comm_TBS(AU11,AU26,AU27,AU12,AU13,AU10/AU18)</f>
        <v>18432</v>
      </c>
      <c r="AV29" s="28" cm="1">
        <f t="array" ref="AV29">Comm_TBS(AV11,AV26,AV27,AV12,AV13,AV10/AV18)</f>
        <v>18432</v>
      </c>
      <c r="AW29" s="1" cm="1">
        <f t="array" ref="AW29">Comm_TBS(AW11,AW26,AW27,AW12,AW13,AW10/AW18)</f>
        <v>18432</v>
      </c>
      <c r="AX29" s="1" cm="1">
        <f t="array" ref="AX29">Comm_TBS(AX11,AX26,AX27,AX12,AX13,AX10/AX18)</f>
        <v>18432</v>
      </c>
      <c r="AY29" s="1" cm="1">
        <f t="array" ref="AY29">Comm_TBS(AY11,AY26,AY27,AY12,AY13,AY10/AY18)</f>
        <v>18432</v>
      </c>
      <c r="AZ29" s="1" cm="1">
        <f t="array" ref="AZ29">Comm_TBS(AZ11,AZ26,AZ27,AZ12,AZ13,AZ10/AZ18)</f>
        <v>18432</v>
      </c>
      <c r="BA29" s="11" cm="1">
        <f t="array" ref="BA29">Comm_TBS(BA11,BA26,BA27,BA12,BA13,BA10/BA18)</f>
        <v>18432</v>
      </c>
      <c r="BB29" s="1" cm="1">
        <f t="array" ref="BB29">Comm_TBS(BB11,BB26,BB27,BB12,BB13,BB10/BB18)</f>
        <v>9224</v>
      </c>
      <c r="BC29" s="1" cm="1">
        <f t="array" ref="BC29">Comm_TBS(BC11,BC26,BC27,BC12,BC13,BC10/BC18)</f>
        <v>9224</v>
      </c>
      <c r="BD29" s="1" cm="1">
        <f t="array" ref="BD29">Comm_TBS(BD11,BD26,BD27,BD12,BD13,BD10/BD18)</f>
        <v>9224</v>
      </c>
      <c r="BE29" s="1" cm="1">
        <f t="array" ref="BE29">Comm_TBS(BE11,BE26,BE27,BE12,BE13,BE10/BE18)</f>
        <v>9224</v>
      </c>
      <c r="BF29" s="1" cm="1">
        <f t="array" ref="BF29">Comm_TBS(BF11,BF26,BF27,BF12,BF13,BF10/BF18)</f>
        <v>9224</v>
      </c>
      <c r="BG29" s="11" cm="1">
        <f t="array" ref="BG29">Comm_TBS(BG11,BG26,BG27,BG12,BG13,BG10/BG18)</f>
        <v>9224</v>
      </c>
    </row>
    <row r="30" spans="2:59" x14ac:dyDescent="0.35">
      <c r="B30" s="9" t="s">
        <v>33</v>
      </c>
      <c r="C30" s="1"/>
      <c r="D30" s="28" cm="1">
        <f t="array" ref="D30">Comm_CB(D11,D26,D27,D12,D13,D10/D18)</f>
        <v>5</v>
      </c>
      <c r="E30" s="1" cm="1">
        <f t="array" ref="E30">Comm_CB(E11,E26,E27,E12,E13,E10/E18)</f>
        <v>5</v>
      </c>
      <c r="F30" s="1" cm="1">
        <f t="array" ref="F30">Comm_CB(F11,F26,F27,F12,F13,F10/F18)</f>
        <v>5</v>
      </c>
      <c r="G30" s="1" cm="1">
        <f t="array" ref="G30">Comm_CB(G11,G26,G27,G12,G13,G10/G18)</f>
        <v>5</v>
      </c>
      <c r="H30" s="1" cm="1">
        <f t="array" ref="H30">Comm_CB(H11,H26,H27,H12,H13,H10/H18)</f>
        <v>5</v>
      </c>
      <c r="I30" s="1" cm="1">
        <f t="array" ref="I30">Comm_CB(I11,I26,I27,I12,I13,I10/I18)</f>
        <v>5</v>
      </c>
      <c r="J30" s="1" cm="1">
        <f t="array" ref="J30">Comm_CB(J11,J26,J27,J12,J13,J10/J18)</f>
        <v>5</v>
      </c>
      <c r="K30" s="1" cm="1">
        <f t="array" ref="K30">Comm_CB(K11,K26,K27,K12,K13,K10/K18)</f>
        <v>5</v>
      </c>
      <c r="L30" s="1" cm="1">
        <f t="array" ref="L30">Comm_CB(L11,L26,L27,L12,L13,L10/L18)</f>
        <v>5</v>
      </c>
      <c r="M30" s="1" cm="1">
        <f t="array" ref="M30">Comm_CB(M11,M26,M27,M12,M13,M10/M18)</f>
        <v>5</v>
      </c>
      <c r="N30" s="1" cm="1">
        <f t="array" ref="N30">Comm_CB(N11,N26,N27,N12,N13,N10/N18)</f>
        <v>5</v>
      </c>
      <c r="O30" s="1" cm="1">
        <f t="array" ref="O30">Comm_CB(O11,O26,O27,O12,O13,O10/O18)</f>
        <v>5</v>
      </c>
      <c r="P30" s="1" cm="1">
        <f t="array" ref="P30">Comm_CB(P11,P26,P27,P12,P13,P10/P18)</f>
        <v>5</v>
      </c>
      <c r="Q30" s="1" cm="1">
        <f t="array" ref="Q30">Comm_CB(Q11,Q26,Q27,Q12,Q13,Q10/Q18)</f>
        <v>5</v>
      </c>
      <c r="R30" s="1" cm="1">
        <f t="array" ref="R30">Comm_CB(R11,R26,R27,R12,R13,R10/R18)</f>
        <v>5</v>
      </c>
      <c r="S30" s="11" cm="1">
        <f t="array" ref="S30">Comm_CB(S11,S26,S27,S12,S13,S10/S18)</f>
        <v>5</v>
      </c>
      <c r="T30" s="28" cm="1">
        <f t="array" ref="T30">Comm_CB(T11,T26,T27,T12,T13,T10/T18)</f>
        <v>13</v>
      </c>
      <c r="U30" s="1" cm="1">
        <f t="array" ref="U30">Comm_CB(U11,U26,U27,U12,U13,U10/U18)</f>
        <v>13</v>
      </c>
      <c r="V30" s="1" cm="1">
        <f t="array" ref="V30">Comm_CB(V11,V26,V27,V12,V13,V10/V18)</f>
        <v>13</v>
      </c>
      <c r="W30" s="1" cm="1">
        <f t="array" ref="W30">Comm_CB(W11,W26,W27,W12,W13,W10/W18)</f>
        <v>13</v>
      </c>
      <c r="X30" s="1" cm="1">
        <f t="array" ref="X30">Comm_CB(X11,X26,X27,X12,X13,X10/X18)</f>
        <v>13</v>
      </c>
      <c r="Y30" s="47" cm="1">
        <f t="array" ref="Y30">Comm_CB(Y11,Y26,Y27,Y12,Y13,Y10/Y18)</f>
        <v>13</v>
      </c>
      <c r="Z30" s="28" cm="1">
        <f t="array" ref="Z30">Comm_CB(Z11,Z26,Z27,Z12,Z13,Z10/Z18)</f>
        <v>7</v>
      </c>
      <c r="AA30" s="1" cm="1">
        <f t="array" ref="AA30">Comm_CB(AA11,AA26,AA27,AA12,AA13,AA10/AA18)</f>
        <v>7</v>
      </c>
      <c r="AB30" s="1" cm="1">
        <f t="array" ref="AB30">Comm_CB(AB11,AB26,AB27,AB12,AB13,AB10/AB18)</f>
        <v>7</v>
      </c>
      <c r="AC30" s="1" cm="1">
        <f t="array" ref="AC30">Comm_CB(AC11,AC26,AC27,AC12,AC13,AC10/AC18)</f>
        <v>7</v>
      </c>
      <c r="AD30" s="1" cm="1">
        <f t="array" ref="AD30">Comm_CB(AD11,AD26,AD27,AD12,AD13,AD10/AD18)</f>
        <v>7</v>
      </c>
      <c r="AE30" s="47" cm="1">
        <f t="array" ref="AE30">Comm_CB(AE11,AE26,AE27,AE12,AE13,AE10/AE18)</f>
        <v>7</v>
      </c>
      <c r="AF30" s="28" cm="1">
        <f t="array" ref="AF30">Comm_CB(AF11,AF26,AF27,AF12,AF13,AF10/AF18)</f>
        <v>3</v>
      </c>
      <c r="AG30" s="1" cm="1">
        <f t="array" ref="AG30">Comm_CB(AG11,AG26,AG27,AG12,AG13,AG10/AG18)</f>
        <v>3</v>
      </c>
      <c r="AH30" s="1" cm="1">
        <f t="array" ref="AH30">Comm_CB(AH11,AH26,AH27,AH12,AH13,AH10/AH18)</f>
        <v>3</v>
      </c>
      <c r="AI30" s="1" cm="1">
        <f t="array" ref="AI30">Comm_CB(AI11,AI26,AI27,AI12,AI13,AI10/AI18)</f>
        <v>3</v>
      </c>
      <c r="AJ30" s="1" cm="1">
        <f t="array" ref="AJ30">Comm_CB(AJ11,AJ26,AJ27,AJ12,AJ13,AJ10/AJ18)</f>
        <v>3</v>
      </c>
      <c r="AK30" s="1" cm="1">
        <f t="array" ref="AK30">Comm_CB(AK11,AK26,AK27,AK12,AK13,AK10/AK18)</f>
        <v>3</v>
      </c>
      <c r="AL30" s="1" cm="1">
        <f t="array" ref="AL30">Comm_CB(AL11,AL26,AL27,AL12,AL13,AL10/AL18)</f>
        <v>3</v>
      </c>
      <c r="AM30" s="1" cm="1">
        <f t="array" ref="AM30">Comm_CB(AM11,AM26,AM27,AM12,AM13,AM10/AM18)</f>
        <v>3</v>
      </c>
      <c r="AN30" s="1" cm="1">
        <f t="array" ref="AN30">Comm_CB(AN11,AN26,AN27,AN12,AN13,AN10/AN18)</f>
        <v>3</v>
      </c>
      <c r="AO30" s="1" cm="1">
        <f t="array" ref="AO30">Comm_CB(AO11,AO26,AO27,AO12,AO13,AO10/AO18)</f>
        <v>3</v>
      </c>
      <c r="AP30" s="1" cm="1">
        <f t="array" ref="AP30">Comm_CB(AP11,AP26,AP27,AP12,AP13,AP10/AP18)</f>
        <v>3</v>
      </c>
      <c r="AQ30" s="1" cm="1">
        <f t="array" ref="AQ30">Comm_CB(AQ11,AQ26,AQ27,AQ12,AQ13,AQ10/AQ18)</f>
        <v>3</v>
      </c>
      <c r="AR30" s="1" cm="1">
        <f t="array" ref="AR30">Comm_CB(AR11,AR26,AR27,AR12,AR13,AR10/AR18)</f>
        <v>3</v>
      </c>
      <c r="AS30" s="1" cm="1">
        <f t="array" ref="AS30">Comm_CB(AS11,AS26,AS27,AS12,AS13,AS10/AS18)</f>
        <v>3</v>
      </c>
      <c r="AT30" s="1" cm="1">
        <f t="array" ref="AT30">Comm_CB(AT11,AT26,AT27,AT12,AT13,AT10/AT18)</f>
        <v>3</v>
      </c>
      <c r="AU30" s="11" cm="1">
        <f t="array" ref="AU30">Comm_CB(AU11,AU26,AU27,AU12,AU13,AU10/AU18)</f>
        <v>3</v>
      </c>
      <c r="AV30" s="28" cm="1">
        <f t="array" ref="AV30">Comm_CB(AV11,AV26,AV27,AV12,AV13,AV10/AV18)</f>
        <v>3</v>
      </c>
      <c r="AW30" s="1" cm="1">
        <f t="array" ref="AW30">Comm_CB(AW11,AW26,AW27,AW12,AW13,AW10/AW18)</f>
        <v>3</v>
      </c>
      <c r="AX30" s="1" cm="1">
        <f t="array" ref="AX30">Comm_CB(AX11,AX26,AX27,AX12,AX13,AX10/AX18)</f>
        <v>3</v>
      </c>
      <c r="AY30" s="1" cm="1">
        <f t="array" ref="AY30">Comm_CB(AY11,AY26,AY27,AY12,AY13,AY10/AY18)</f>
        <v>3</v>
      </c>
      <c r="AZ30" s="1" cm="1">
        <f t="array" ref="AZ30">Comm_CB(AZ11,AZ26,AZ27,AZ12,AZ13,AZ10/AZ18)</f>
        <v>3</v>
      </c>
      <c r="BA30" s="11" cm="1">
        <f t="array" ref="BA30">Comm_CB(BA11,BA26,BA27,BA12,BA13,BA10/BA18)</f>
        <v>3</v>
      </c>
      <c r="BB30" s="1" cm="1">
        <f t="array" ref="BB30">Comm_CB(BB11,BB26,BB27,BB12,BB13,BB10/BB18)</f>
        <v>2</v>
      </c>
      <c r="BC30" s="1" cm="1">
        <f t="array" ref="BC30">Comm_CB(BC11,BC26,BC27,BC12,BC13,BC10/BC18)</f>
        <v>2</v>
      </c>
      <c r="BD30" s="1" cm="1">
        <f t="array" ref="BD30">Comm_CB(BD11,BD26,BD27,BD12,BD13,BD10/BD18)</f>
        <v>2</v>
      </c>
      <c r="BE30" s="1" cm="1">
        <f t="array" ref="BE30">Comm_CB(BE11,BE26,BE27,BE12,BE13,BE10/BE18)</f>
        <v>2</v>
      </c>
      <c r="BF30" s="1" cm="1">
        <f t="array" ref="BF30">Comm_CB(BF11,BF26,BF27,BF12,BF13,BF10/BF18)</f>
        <v>2</v>
      </c>
      <c r="BG30" s="11" cm="1">
        <f t="array" ref="BG30">Comm_CB(BG11,BG26,BG27,BG12,BG13,BG10/BG18)</f>
        <v>2</v>
      </c>
    </row>
    <row r="31" spans="2:59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1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1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12" cm="1">
        <f t="array" ref="S31">Comm_Parity_Nodes(S11,S26,S27,S12,S13,S10/S18)</f>
        <v>4</v>
      </c>
      <c r="T31" s="30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1" cm="1">
        <f t="array" ref="V31">Comm_Parity_Nodes(V11,V26,V27,V12,V13,V10/V18)</f>
        <v>4</v>
      </c>
      <c r="W31" s="31" cm="1">
        <f t="array" ref="W31">Comm_Parity_Nodes(W11,W26,W27,W12,W13,W10/W18)</f>
        <v>4</v>
      </c>
      <c r="X31" s="31" cm="1">
        <f t="array" ref="X31">Comm_Parity_Nodes(X11,X26,X27,X12,X13,X10/X18)</f>
        <v>4</v>
      </c>
      <c r="Y31" s="50" cm="1">
        <f t="array" ref="Y31">Comm_Parity_Nodes(Y11,Y26,Y27,Y12,Y13,Y10/Y18)</f>
        <v>4</v>
      </c>
      <c r="Z31" s="30" cm="1">
        <f t="array" ref="Z31">Comm_Parity_Nodes(Z11,Z26,Z27,Z12,Z13,Z10/Z18)</f>
        <v>4</v>
      </c>
      <c r="AA31" s="31" cm="1">
        <f t="array" ref="AA31">Comm_Parity_Nodes(AA11,AA26,AA27,AA12,AA13,AA10/AA18)</f>
        <v>4</v>
      </c>
      <c r="AB31" s="31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50" cm="1">
        <f t="array" ref="AE31">Comm_Parity_Nodes(AE11,AE26,AE27,AE12,AE13,AE10/AE18)</f>
        <v>4</v>
      </c>
      <c r="AF31" s="30" cm="1">
        <f t="array" ref="AF31">Comm_Parity_Nodes(AF11,AF26,AF27,AF12,AF13,AF10/AF18)</f>
        <v>4</v>
      </c>
      <c r="AG31" s="31" cm="1">
        <f t="array" ref="AG31">Comm_Parity_Nodes(AG11,AG26,AG27,AG12,AG13,AG10/AG18)</f>
        <v>4</v>
      </c>
      <c r="AH31" s="31" cm="1">
        <f t="array" ref="AH31">Comm_Parity_Nodes(AH11,AH26,AH27,AH12,AH13,AH10/AH18)</f>
        <v>4</v>
      </c>
      <c r="AI31" s="31" cm="1">
        <f t="array" ref="AI31">Comm_Parity_Nodes(AI11,AI26,AI27,AI12,AI13,AI10/AI18)</f>
        <v>4</v>
      </c>
      <c r="AJ31" s="31" cm="1">
        <f t="array" ref="AJ31">Comm_Parity_Nodes(AJ11,AJ26,AJ27,AJ12,AJ13,AJ10/AJ18)</f>
        <v>4</v>
      </c>
      <c r="AK31" s="31" cm="1">
        <f t="array" ref="AK31">Comm_Parity_Nodes(AK11,AK26,AK27,AK12,AK13,AK10/AK18)</f>
        <v>4</v>
      </c>
      <c r="AL31" s="31" cm="1">
        <f t="array" ref="AL31">Comm_Parity_Nodes(AL11,AL26,AL27,AL12,AL13,AL10/AL18)</f>
        <v>4</v>
      </c>
      <c r="AM31" s="31" cm="1">
        <f t="array" ref="AM31">Comm_Parity_Nodes(AM11,AM26,AM27,AM12,AM13,AM10/AM18)</f>
        <v>4</v>
      </c>
      <c r="AN31" s="31" cm="1">
        <f t="array" ref="AN31">Comm_Parity_Nodes(AN11,AN26,AN27,AN12,AN13,AN10/AN18)</f>
        <v>4</v>
      </c>
      <c r="AO31" s="31" cm="1">
        <f t="array" ref="AO31">Comm_Parity_Nodes(AO11,AO26,AO27,AO12,AO13,AO10/AO18)</f>
        <v>4</v>
      </c>
      <c r="AP31" s="31" cm="1">
        <f t="array" ref="AP31">Comm_Parity_Nodes(AP11,AP26,AP27,AP12,AP13,AP10/AP18)</f>
        <v>4</v>
      </c>
      <c r="AQ31" s="31" cm="1">
        <f t="array" ref="AQ31">Comm_Parity_Nodes(AQ11,AQ26,AQ27,AQ12,AQ13,AQ10/AQ18)</f>
        <v>4</v>
      </c>
      <c r="AR31" s="31" cm="1">
        <f t="array" ref="AR31">Comm_Parity_Nodes(AR11,AR26,AR27,AR12,AR13,AR10/AR18)</f>
        <v>4</v>
      </c>
      <c r="AS31" s="31" cm="1">
        <f t="array" ref="AS31">Comm_Parity_Nodes(AS11,AS26,AS27,AS12,AS13,AS10/AS18)</f>
        <v>4</v>
      </c>
      <c r="AT31" s="31" cm="1">
        <f t="array" ref="AT31">Comm_Parity_Nodes(AT11,AT26,AT27,AT12,AT13,AT10/AT18)</f>
        <v>4</v>
      </c>
      <c r="AU31" s="12" cm="1">
        <f t="array" ref="AU31">Comm_Parity_Nodes(AU11,AU26,AU27,AU12,AU13,AU10/AU18)</f>
        <v>4</v>
      </c>
      <c r="AV31" s="30" cm="1">
        <f t="array" ref="AV31">Comm_Parity_Nodes(AV11,AV26,AV27,AV12,AV13,AV10/AV18)</f>
        <v>4</v>
      </c>
      <c r="AW31" s="31" cm="1">
        <f t="array" ref="AW31">Comm_Parity_Nodes(AW11,AW26,AW27,AW12,AW13,AW10/AW18)</f>
        <v>4</v>
      </c>
      <c r="AX31" s="31" cm="1">
        <f t="array" ref="AX31">Comm_Parity_Nodes(AX11,AX26,AX27,AX12,AX13,AX10/AX18)</f>
        <v>4</v>
      </c>
      <c r="AY31" s="31" cm="1">
        <f t="array" ref="AY31">Comm_Parity_Nodes(AY11,AY26,AY27,AY12,AY13,AY10/AY18)</f>
        <v>4</v>
      </c>
      <c r="AZ31" s="31" cm="1">
        <f t="array" ref="AZ31">Comm_Parity_Nodes(AZ11,AZ26,AZ27,AZ12,AZ13,AZ10/AZ18)</f>
        <v>4</v>
      </c>
      <c r="BA31" s="12" cm="1">
        <f t="array" ref="BA31">Comm_Parity_Nodes(BA11,BA26,BA27,BA12,BA13,BA10/BA18)</f>
        <v>4</v>
      </c>
      <c r="BB31" s="31" cm="1">
        <f t="array" ref="BB31">Comm_Parity_Nodes(BB11,BB26,BB27,BB12,BB13,BB10/BB18)</f>
        <v>4</v>
      </c>
      <c r="BC31" s="31" cm="1">
        <f t="array" ref="BC31">Comm_Parity_Nodes(BC11,BC26,BC27,BC12,BC13,BC10/BC18)</f>
        <v>4</v>
      </c>
      <c r="BD31" s="31" cm="1">
        <f t="array" ref="BD31">Comm_Parity_Nodes(BD11,BD26,BD27,BD12,BD13,BD10/BD18)</f>
        <v>4</v>
      </c>
      <c r="BE31" s="31" cm="1">
        <f t="array" ref="BE31">Comm_Parity_Nodes(BE11,BE26,BE27,BE12,BE13,BE10/BE18)</f>
        <v>4</v>
      </c>
      <c r="BF31" s="31" cm="1">
        <f t="array" ref="BF31">Comm_Parity_Nodes(BF11,BF26,BF27,BF12,BF13,BF10/BF18)</f>
        <v>4</v>
      </c>
      <c r="BG31" s="12" cm="1">
        <f t="array" ref="BG31">Comm_Parity_Nodes(BG11,BG26,BG27,BG12,BG13,BG10/BG18)</f>
        <v>4</v>
      </c>
    </row>
    <row r="32" spans="2:59" x14ac:dyDescent="0.35">
      <c r="B32" s="6" t="s">
        <v>35</v>
      </c>
      <c r="D32" s="29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6"/>
      <c r="T32" s="29"/>
      <c r="U32" s="17"/>
      <c r="V32" s="17"/>
      <c r="W32" s="17"/>
      <c r="X32" s="17"/>
      <c r="Y32" s="49"/>
      <c r="Z32" s="29"/>
      <c r="AA32" s="17"/>
      <c r="AB32" s="17"/>
      <c r="AC32" s="17"/>
      <c r="AD32" s="17"/>
      <c r="AE32" s="49"/>
      <c r="AF32" s="29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6"/>
      <c r="AV32" s="17"/>
      <c r="AW32" s="17"/>
      <c r="AX32" s="17"/>
      <c r="AY32" s="17"/>
      <c r="AZ32" s="17"/>
      <c r="BA32" s="16"/>
      <c r="BB32" s="17"/>
      <c r="BC32" s="17"/>
      <c r="BD32" s="17"/>
      <c r="BE32" s="17"/>
      <c r="BF32" s="17"/>
      <c r="BG32" s="16"/>
    </row>
    <row r="33" spans="2:59" x14ac:dyDescent="0.35">
      <c r="B33" s="9" t="s">
        <v>36</v>
      </c>
      <c r="D33" s="26"/>
      <c r="S33" s="19"/>
      <c r="Y33" s="46"/>
      <c r="AE33" s="46"/>
      <c r="AF33" s="26"/>
      <c r="AU33" s="19"/>
      <c r="BA33" s="19"/>
      <c r="BG33" s="19"/>
    </row>
    <row r="34" spans="2:59" ht="15" thickBot="1" x14ac:dyDescent="0.4">
      <c r="B34" s="9" t="s">
        <v>56</v>
      </c>
      <c r="D34" s="38">
        <f>SUMPRODUCT(D18:S18, D29:S29)   / 5 / 0.5/1000/1000</f>
        <v>0.24919039999999998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3"/>
      <c r="T34" s="53">
        <f>SUMPRODUCT(T18:Y18, T29:Y29)   / 5 / 0.5/1000/1000</f>
        <v>0.25079040000000002</v>
      </c>
      <c r="U34" s="51"/>
      <c r="V34" s="51"/>
      <c r="W34" s="51"/>
      <c r="X34" s="51"/>
      <c r="Y34" s="52"/>
      <c r="Z34" s="53">
        <f>SUMPRODUCT(Z18:AE18, Z29:AE29)   / 5 / 0.5/1000/1000</f>
        <v>0.1229184</v>
      </c>
      <c r="AA34" s="51"/>
      <c r="AB34" s="51"/>
      <c r="AC34" s="51"/>
      <c r="AD34" s="51"/>
      <c r="AE34" s="52"/>
      <c r="AF34" s="38">
        <f>SUMPRODUCT(AF18:AU18, AF29:AU29)   / 5 / 0.5/1000/1000</f>
        <v>0.11796479999999999</v>
      </c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3"/>
      <c r="AV34" s="32">
        <f>SUMPRODUCT(AV18:BA18, AV29:BA29)  / 5 / 0.5/1000/1000</f>
        <v>4.42368E-2</v>
      </c>
      <c r="AW34" s="32"/>
      <c r="AX34" s="32"/>
      <c r="AY34" s="32"/>
      <c r="AZ34" s="32"/>
      <c r="BA34" s="33"/>
      <c r="BB34" s="32">
        <f>SUMPRODUCT(BB18:BG18, BB29:BG29)  / 5 / 0.5/1000/1000</f>
        <v>2.21376E-2</v>
      </c>
      <c r="BC34" s="32"/>
      <c r="BD34" s="32"/>
      <c r="BE34" s="32"/>
      <c r="BF34" s="32"/>
      <c r="BG34" s="3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7996-F6C3-4A7D-8DE6-9DF8071CF264}">
  <dimension ref="B1:AM36"/>
  <sheetViews>
    <sheetView topLeftCell="A3" workbookViewId="0">
      <selection activeCell="D34" sqref="D3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  <col min="4" max="4" width="11.6328125" customWidth="1"/>
  </cols>
  <sheetData>
    <row r="1" spans="2:39" ht="15" thickBot="1" x14ac:dyDescent="0.4"/>
    <row r="2" spans="2:39" x14ac:dyDescent="0.35">
      <c r="B2" s="2" t="s">
        <v>0</v>
      </c>
      <c r="D2" s="21" t="s">
        <v>95</v>
      </c>
      <c r="E2" s="24"/>
      <c r="F2" s="24"/>
      <c r="G2" s="24"/>
      <c r="H2" s="24"/>
      <c r="I2" s="24"/>
      <c r="J2" s="21" t="s">
        <v>96</v>
      </c>
      <c r="K2" s="24"/>
      <c r="L2" s="24"/>
      <c r="M2" s="24"/>
      <c r="N2" s="24"/>
      <c r="O2" s="24"/>
      <c r="P2" s="21" t="s">
        <v>118</v>
      </c>
      <c r="Q2" s="24"/>
      <c r="R2" s="24"/>
      <c r="S2" s="24"/>
      <c r="T2" s="24"/>
      <c r="U2" s="24"/>
      <c r="V2" s="21" t="s">
        <v>119</v>
      </c>
      <c r="W2" s="24"/>
      <c r="X2" s="24"/>
      <c r="Y2" s="24"/>
      <c r="Z2" s="24"/>
      <c r="AA2" s="24"/>
      <c r="AB2" s="21" t="s">
        <v>120</v>
      </c>
      <c r="AC2" s="24"/>
      <c r="AD2" s="24"/>
      <c r="AE2" s="24"/>
      <c r="AF2" s="24"/>
      <c r="AG2" s="24"/>
      <c r="AH2" s="21" t="s">
        <v>121</v>
      </c>
      <c r="AI2" s="24"/>
      <c r="AJ2" s="24"/>
      <c r="AK2" s="24"/>
      <c r="AL2" s="24"/>
      <c r="AM2" s="24"/>
    </row>
    <row r="3" spans="2:39" x14ac:dyDescent="0.35">
      <c r="B3" s="3" t="s">
        <v>3</v>
      </c>
      <c r="D3" s="28">
        <v>100</v>
      </c>
      <c r="E3" s="1">
        <v>100</v>
      </c>
      <c r="F3" s="1">
        <v>100</v>
      </c>
      <c r="G3" s="1">
        <v>100</v>
      </c>
      <c r="H3" s="1">
        <v>100</v>
      </c>
      <c r="I3" s="1">
        <v>100</v>
      </c>
      <c r="J3" s="28">
        <v>100</v>
      </c>
      <c r="K3" s="1">
        <v>100</v>
      </c>
      <c r="L3" s="1">
        <v>100</v>
      </c>
      <c r="M3" s="1">
        <v>100</v>
      </c>
      <c r="N3" s="1">
        <v>100</v>
      </c>
      <c r="O3" s="1">
        <v>100</v>
      </c>
      <c r="P3" s="28">
        <v>100</v>
      </c>
      <c r="Q3" s="1">
        <v>100</v>
      </c>
      <c r="R3" s="1">
        <v>100</v>
      </c>
      <c r="S3" s="1">
        <v>100</v>
      </c>
      <c r="T3" s="1">
        <v>100</v>
      </c>
      <c r="U3" s="1">
        <v>100</v>
      </c>
      <c r="V3" s="28">
        <v>100</v>
      </c>
      <c r="W3" s="1">
        <v>100</v>
      </c>
      <c r="X3" s="1">
        <v>100</v>
      </c>
      <c r="Y3" s="1">
        <v>100</v>
      </c>
      <c r="Z3" s="1">
        <v>100</v>
      </c>
      <c r="AA3" s="1">
        <v>100</v>
      </c>
      <c r="AB3" s="28">
        <v>100</v>
      </c>
      <c r="AC3" s="1">
        <v>100</v>
      </c>
      <c r="AD3" s="1">
        <v>100</v>
      </c>
      <c r="AE3" s="1">
        <v>100</v>
      </c>
      <c r="AF3" s="1">
        <v>100</v>
      </c>
      <c r="AG3" s="1">
        <v>100</v>
      </c>
      <c r="AH3" s="28">
        <v>100</v>
      </c>
      <c r="AI3" s="1">
        <v>100</v>
      </c>
      <c r="AJ3" s="1">
        <v>100</v>
      </c>
      <c r="AK3" s="1">
        <v>100</v>
      </c>
      <c r="AL3" s="1">
        <v>100</v>
      </c>
      <c r="AM3" s="1">
        <v>100</v>
      </c>
    </row>
    <row r="4" spans="2:39" x14ac:dyDescent="0.35">
      <c r="B4" s="3" t="s">
        <v>4</v>
      </c>
      <c r="D4" s="28">
        <v>106</v>
      </c>
      <c r="E4" s="1">
        <v>106</v>
      </c>
      <c r="F4" s="1">
        <v>106</v>
      </c>
      <c r="G4" s="1">
        <v>106</v>
      </c>
      <c r="H4" s="1">
        <v>106</v>
      </c>
      <c r="I4" s="1">
        <v>106</v>
      </c>
      <c r="J4" s="28">
        <v>106</v>
      </c>
      <c r="K4" s="1">
        <v>106</v>
      </c>
      <c r="L4" s="1">
        <v>106</v>
      </c>
      <c r="M4" s="1">
        <v>106</v>
      </c>
      <c r="N4" s="1">
        <v>106</v>
      </c>
      <c r="O4" s="1">
        <v>106</v>
      </c>
      <c r="P4" s="28">
        <v>106</v>
      </c>
      <c r="Q4" s="1">
        <v>106</v>
      </c>
      <c r="R4" s="1">
        <v>106</v>
      </c>
      <c r="S4" s="1">
        <v>106</v>
      </c>
      <c r="T4" s="1">
        <v>106</v>
      </c>
      <c r="U4" s="1">
        <v>106</v>
      </c>
      <c r="V4" s="28">
        <v>106</v>
      </c>
      <c r="W4" s="1">
        <v>106</v>
      </c>
      <c r="X4" s="1">
        <v>106</v>
      </c>
      <c r="Y4" s="1">
        <v>106</v>
      </c>
      <c r="Z4" s="1">
        <v>106</v>
      </c>
      <c r="AA4" s="1">
        <v>106</v>
      </c>
      <c r="AB4" s="28">
        <v>106</v>
      </c>
      <c r="AC4" s="1">
        <v>106</v>
      </c>
      <c r="AD4" s="1">
        <v>106</v>
      </c>
      <c r="AE4" s="1">
        <v>106</v>
      </c>
      <c r="AF4" s="1">
        <v>106</v>
      </c>
      <c r="AG4" s="1">
        <v>106</v>
      </c>
      <c r="AH4" s="28">
        <v>106</v>
      </c>
      <c r="AI4" s="1">
        <v>106</v>
      </c>
      <c r="AJ4" s="1">
        <v>106</v>
      </c>
      <c r="AK4" s="1">
        <v>106</v>
      </c>
      <c r="AL4" s="1">
        <v>106</v>
      </c>
      <c r="AM4" s="1">
        <v>106</v>
      </c>
    </row>
    <row r="5" spans="2:39" x14ac:dyDescent="0.35">
      <c r="B5" s="3" t="s">
        <v>5</v>
      </c>
      <c r="D5" s="28">
        <v>106</v>
      </c>
      <c r="E5" s="1">
        <v>106</v>
      </c>
      <c r="F5" s="1">
        <v>106</v>
      </c>
      <c r="G5" s="1">
        <v>106</v>
      </c>
      <c r="H5" s="1">
        <v>106</v>
      </c>
      <c r="I5" s="1">
        <v>106</v>
      </c>
      <c r="J5" s="28">
        <v>106</v>
      </c>
      <c r="K5" s="1">
        <v>106</v>
      </c>
      <c r="L5" s="1">
        <v>106</v>
      </c>
      <c r="M5" s="1">
        <v>106</v>
      </c>
      <c r="N5" s="1">
        <v>106</v>
      </c>
      <c r="O5" s="1">
        <v>106</v>
      </c>
      <c r="P5" s="28">
        <v>106</v>
      </c>
      <c r="Q5" s="1">
        <v>106</v>
      </c>
      <c r="R5" s="1">
        <v>106</v>
      </c>
      <c r="S5" s="1">
        <v>106</v>
      </c>
      <c r="T5" s="1">
        <v>106</v>
      </c>
      <c r="U5" s="1">
        <v>106</v>
      </c>
      <c r="V5" s="28">
        <v>106</v>
      </c>
      <c r="W5" s="1">
        <v>106</v>
      </c>
      <c r="X5" s="1">
        <v>106</v>
      </c>
      <c r="Y5" s="1">
        <v>106</v>
      </c>
      <c r="Z5" s="1">
        <v>106</v>
      </c>
      <c r="AA5" s="1">
        <v>106</v>
      </c>
      <c r="AB5" s="28">
        <v>106</v>
      </c>
      <c r="AC5" s="1">
        <v>106</v>
      </c>
      <c r="AD5" s="1">
        <v>106</v>
      </c>
      <c r="AE5" s="1">
        <v>106</v>
      </c>
      <c r="AF5" s="1">
        <v>106</v>
      </c>
      <c r="AG5" s="1">
        <v>106</v>
      </c>
      <c r="AH5" s="28">
        <v>106</v>
      </c>
      <c r="AI5" s="1">
        <v>106</v>
      </c>
      <c r="AJ5" s="1">
        <v>106</v>
      </c>
      <c r="AK5" s="1">
        <v>106</v>
      </c>
      <c r="AL5" s="1">
        <v>106</v>
      </c>
      <c r="AM5" s="1">
        <v>106</v>
      </c>
    </row>
    <row r="6" spans="2:39" x14ac:dyDescent="0.35">
      <c r="B6" s="3" t="s">
        <v>6</v>
      </c>
      <c r="D6" s="28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28">
        <v>1</v>
      </c>
      <c r="K6" s="1">
        <v>2</v>
      </c>
      <c r="L6" s="1">
        <v>3</v>
      </c>
      <c r="M6" s="1">
        <v>4</v>
      </c>
      <c r="N6" s="1">
        <v>5</v>
      </c>
      <c r="O6" s="1">
        <v>6</v>
      </c>
      <c r="P6" s="28">
        <v>1</v>
      </c>
      <c r="Q6" s="1">
        <v>2</v>
      </c>
      <c r="R6" s="1">
        <v>3</v>
      </c>
      <c r="S6" s="1">
        <v>4</v>
      </c>
      <c r="T6" s="1">
        <v>5</v>
      </c>
      <c r="U6" s="1">
        <v>6</v>
      </c>
      <c r="V6" s="28">
        <v>1</v>
      </c>
      <c r="W6" s="1">
        <v>2</v>
      </c>
      <c r="X6" s="1">
        <v>3</v>
      </c>
      <c r="Y6" s="1">
        <v>4</v>
      </c>
      <c r="Z6" s="1">
        <v>5</v>
      </c>
      <c r="AA6" s="1">
        <v>6</v>
      </c>
      <c r="AB6" s="28">
        <v>1</v>
      </c>
      <c r="AC6" s="1">
        <v>2</v>
      </c>
      <c r="AD6" s="1">
        <v>3</v>
      </c>
      <c r="AE6" s="1">
        <v>4</v>
      </c>
      <c r="AF6" s="1">
        <v>5</v>
      </c>
      <c r="AG6" s="1">
        <v>6</v>
      </c>
      <c r="AH6" s="28">
        <v>1</v>
      </c>
      <c r="AI6" s="1">
        <v>2</v>
      </c>
      <c r="AJ6" s="1">
        <v>3</v>
      </c>
      <c r="AK6" s="1">
        <v>4</v>
      </c>
      <c r="AL6" s="1">
        <v>5</v>
      </c>
      <c r="AM6" s="1">
        <v>6</v>
      </c>
    </row>
    <row r="7" spans="2:39" x14ac:dyDescent="0.35">
      <c r="B7" s="3" t="s">
        <v>7</v>
      </c>
      <c r="D7" s="27">
        <f>D11/D5</f>
        <v>0.16037735849056603</v>
      </c>
      <c r="E7" s="14">
        <f t="shared" ref="E7:I7" si="0">E11/E5</f>
        <v>0.16037735849056603</v>
      </c>
      <c r="F7" s="14">
        <f t="shared" si="0"/>
        <v>0.16037735849056603</v>
      </c>
      <c r="G7" s="14">
        <f t="shared" si="0"/>
        <v>0.16037735849056603</v>
      </c>
      <c r="H7" s="14">
        <f t="shared" si="0"/>
        <v>0.16037735849056603</v>
      </c>
      <c r="I7" s="14">
        <f t="shared" si="0"/>
        <v>0.16037735849056603</v>
      </c>
      <c r="J7" s="27">
        <f>J11/J5</f>
        <v>7.5471698113207544E-2</v>
      </c>
      <c r="K7" s="14">
        <f t="shared" ref="K7:O7" si="1">K11/K5</f>
        <v>7.5471698113207544E-2</v>
      </c>
      <c r="L7" s="14">
        <f t="shared" si="1"/>
        <v>7.5471698113207544E-2</v>
      </c>
      <c r="M7" s="14">
        <f t="shared" si="1"/>
        <v>7.5471698113207544E-2</v>
      </c>
      <c r="N7" s="14">
        <f t="shared" si="1"/>
        <v>7.5471698113207544E-2</v>
      </c>
      <c r="O7" s="14">
        <f t="shared" si="1"/>
        <v>7.5471698113207544E-2</v>
      </c>
      <c r="P7" s="27">
        <f>P11/P5</f>
        <v>0.12264150943396226</v>
      </c>
      <c r="Q7" s="14">
        <f t="shared" ref="Q7:U7" si="2">Q11/Q5</f>
        <v>0.12264150943396226</v>
      </c>
      <c r="R7" s="14">
        <f t="shared" si="2"/>
        <v>0.12264150943396226</v>
      </c>
      <c r="S7" s="14">
        <f t="shared" si="2"/>
        <v>0.12264150943396226</v>
      </c>
      <c r="T7" s="14">
        <f t="shared" si="2"/>
        <v>0.12264150943396226</v>
      </c>
      <c r="U7" s="14">
        <f t="shared" si="2"/>
        <v>0.12264150943396226</v>
      </c>
      <c r="V7" s="27">
        <f>V11/V5</f>
        <v>5.6603773584905662E-2</v>
      </c>
      <c r="W7" s="14">
        <f t="shared" ref="W7:AA7" si="3">W11/W5</f>
        <v>5.6603773584905662E-2</v>
      </c>
      <c r="X7" s="14">
        <f t="shared" si="3"/>
        <v>5.6603773584905662E-2</v>
      </c>
      <c r="Y7" s="14">
        <f t="shared" si="3"/>
        <v>5.6603773584905662E-2</v>
      </c>
      <c r="Z7" s="14">
        <f t="shared" si="3"/>
        <v>5.6603773584905662E-2</v>
      </c>
      <c r="AA7" s="14">
        <f t="shared" si="3"/>
        <v>5.6603773584905662E-2</v>
      </c>
      <c r="AB7" s="27">
        <f>AB11/AB5</f>
        <v>7.5471698113207544E-2</v>
      </c>
      <c r="AC7" s="14">
        <f t="shared" ref="AC7:AG7" si="4">AC11/AC5</f>
        <v>7.5471698113207544E-2</v>
      </c>
      <c r="AD7" s="14">
        <f t="shared" si="4"/>
        <v>7.5471698113207544E-2</v>
      </c>
      <c r="AE7" s="14">
        <f t="shared" si="4"/>
        <v>7.5471698113207544E-2</v>
      </c>
      <c r="AF7" s="14">
        <f t="shared" si="4"/>
        <v>7.5471698113207544E-2</v>
      </c>
      <c r="AG7" s="14">
        <f t="shared" si="4"/>
        <v>7.5471698113207544E-2</v>
      </c>
      <c r="AH7" s="27">
        <f>AH11/AH5</f>
        <v>3.7735849056603772E-2</v>
      </c>
      <c r="AI7" s="14">
        <f t="shared" ref="AI7:AM7" si="5">AI11/AI5</f>
        <v>3.7735849056603772E-2</v>
      </c>
      <c r="AJ7" s="14">
        <f t="shared" si="5"/>
        <v>3.7735849056603772E-2</v>
      </c>
      <c r="AK7" s="14">
        <f t="shared" si="5"/>
        <v>3.7735849056603772E-2</v>
      </c>
      <c r="AL7" s="14">
        <f t="shared" si="5"/>
        <v>3.7735849056603772E-2</v>
      </c>
      <c r="AM7" s="14">
        <f t="shared" si="5"/>
        <v>3.7735849056603772E-2</v>
      </c>
    </row>
    <row r="8" spans="2:39" x14ac:dyDescent="0.35">
      <c r="B8" s="4" t="s">
        <v>8</v>
      </c>
      <c r="D8" s="28">
        <v>1</v>
      </c>
      <c r="E8" s="1">
        <v>1</v>
      </c>
      <c r="F8" s="1">
        <v>1</v>
      </c>
      <c r="G8" s="1">
        <v>1</v>
      </c>
      <c r="H8" s="1">
        <v>1</v>
      </c>
      <c r="I8" s="1">
        <v>1</v>
      </c>
      <c r="J8" s="28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28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28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28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28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</row>
    <row r="9" spans="2:39" x14ac:dyDescent="0.35">
      <c r="B9" s="4" t="s">
        <v>9</v>
      </c>
      <c r="D9" s="28">
        <v>4</v>
      </c>
      <c r="E9" s="1">
        <v>4</v>
      </c>
      <c r="F9" s="1">
        <v>4</v>
      </c>
      <c r="G9" s="1">
        <v>4</v>
      </c>
      <c r="H9" s="1">
        <v>4</v>
      </c>
      <c r="I9" s="1">
        <v>4</v>
      </c>
      <c r="J9" s="28">
        <v>4</v>
      </c>
      <c r="K9" s="1">
        <v>4</v>
      </c>
      <c r="L9" s="1">
        <v>4</v>
      </c>
      <c r="M9" s="1">
        <v>4</v>
      </c>
      <c r="N9" s="1">
        <v>4</v>
      </c>
      <c r="O9" s="1">
        <v>4</v>
      </c>
      <c r="P9" s="28">
        <v>4</v>
      </c>
      <c r="Q9" s="1">
        <v>4</v>
      </c>
      <c r="R9" s="1">
        <v>4</v>
      </c>
      <c r="S9" s="1">
        <v>4</v>
      </c>
      <c r="T9" s="1">
        <v>4</v>
      </c>
      <c r="U9" s="1">
        <v>4</v>
      </c>
      <c r="V9" s="28">
        <v>4</v>
      </c>
      <c r="W9" s="1">
        <v>4</v>
      </c>
      <c r="X9" s="1">
        <v>4</v>
      </c>
      <c r="Y9" s="1">
        <v>4</v>
      </c>
      <c r="Z9" s="1">
        <v>4</v>
      </c>
      <c r="AA9" s="1">
        <v>4</v>
      </c>
      <c r="AB9" s="28">
        <v>4</v>
      </c>
      <c r="AC9" s="1">
        <v>4</v>
      </c>
      <c r="AD9" s="1">
        <v>4</v>
      </c>
      <c r="AE9" s="1">
        <v>4</v>
      </c>
      <c r="AF9" s="1">
        <v>4</v>
      </c>
      <c r="AG9" s="1">
        <v>4</v>
      </c>
      <c r="AH9" s="28">
        <v>4</v>
      </c>
      <c r="AI9" s="1">
        <v>4</v>
      </c>
      <c r="AJ9" s="1">
        <v>4</v>
      </c>
      <c r="AK9" s="1">
        <v>4</v>
      </c>
      <c r="AL9" s="1">
        <v>4</v>
      </c>
      <c r="AM9" s="1">
        <v>4</v>
      </c>
    </row>
    <row r="10" spans="2:39" x14ac:dyDescent="0.35">
      <c r="B10" s="4" t="s">
        <v>10</v>
      </c>
      <c r="D10" s="28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28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28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28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28">
        <v>2</v>
      </c>
      <c r="AC10" s="1">
        <v>2</v>
      </c>
      <c r="AD10" s="1">
        <v>2</v>
      </c>
      <c r="AE10" s="1">
        <v>2</v>
      </c>
      <c r="AF10" s="1">
        <v>2</v>
      </c>
      <c r="AG10" s="1">
        <v>2</v>
      </c>
      <c r="AH10" s="28">
        <v>2</v>
      </c>
      <c r="AI10" s="1">
        <v>2</v>
      </c>
      <c r="AJ10" s="1">
        <v>2</v>
      </c>
      <c r="AK10" s="1">
        <v>2</v>
      </c>
      <c r="AL10" s="1">
        <v>2</v>
      </c>
      <c r="AM10" s="1">
        <v>2</v>
      </c>
    </row>
    <row r="11" spans="2:39" x14ac:dyDescent="0.35">
      <c r="B11" s="3" t="s">
        <v>11</v>
      </c>
      <c r="D11" s="28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28">
        <v>8</v>
      </c>
      <c r="K11" s="1">
        <v>8</v>
      </c>
      <c r="L11" s="1">
        <v>8</v>
      </c>
      <c r="M11" s="1">
        <v>8</v>
      </c>
      <c r="N11" s="1">
        <v>8</v>
      </c>
      <c r="O11" s="1">
        <v>8</v>
      </c>
      <c r="P11" s="28">
        <v>13</v>
      </c>
      <c r="Q11" s="1">
        <v>13</v>
      </c>
      <c r="R11" s="1">
        <v>13</v>
      </c>
      <c r="S11" s="1">
        <v>13</v>
      </c>
      <c r="T11" s="1">
        <v>13</v>
      </c>
      <c r="U11" s="1">
        <v>13</v>
      </c>
      <c r="V11" s="28">
        <v>6</v>
      </c>
      <c r="W11" s="1">
        <v>6</v>
      </c>
      <c r="X11" s="1">
        <v>6</v>
      </c>
      <c r="Y11" s="1">
        <v>6</v>
      </c>
      <c r="Z11" s="1">
        <v>6</v>
      </c>
      <c r="AA11" s="1">
        <v>6</v>
      </c>
      <c r="AB11" s="28">
        <v>8</v>
      </c>
      <c r="AC11" s="1">
        <v>8</v>
      </c>
      <c r="AD11" s="1">
        <v>8</v>
      </c>
      <c r="AE11" s="1">
        <v>8</v>
      </c>
      <c r="AF11" s="1">
        <v>8</v>
      </c>
      <c r="AG11" s="1">
        <v>8</v>
      </c>
      <c r="AH11" s="28">
        <v>4</v>
      </c>
      <c r="AI11" s="1">
        <v>4</v>
      </c>
      <c r="AJ11" s="1">
        <v>4</v>
      </c>
      <c r="AK11" s="1">
        <v>4</v>
      </c>
      <c r="AL11" s="1">
        <v>4</v>
      </c>
      <c r="AM11" s="1">
        <v>4</v>
      </c>
    </row>
    <row r="12" spans="2:39" x14ac:dyDescent="0.35">
      <c r="B12" s="3" t="s">
        <v>12</v>
      </c>
      <c r="D12" s="28">
        <v>12</v>
      </c>
      <c r="E12" s="1">
        <v>12</v>
      </c>
      <c r="F12" s="1">
        <v>12</v>
      </c>
      <c r="G12" s="1">
        <v>12</v>
      </c>
      <c r="H12" s="1">
        <v>12</v>
      </c>
      <c r="I12" s="1">
        <v>12</v>
      </c>
      <c r="J12" s="28">
        <v>12</v>
      </c>
      <c r="K12" s="1">
        <v>12</v>
      </c>
      <c r="L12" s="1">
        <v>12</v>
      </c>
      <c r="M12" s="1">
        <v>12</v>
      </c>
      <c r="N12" s="1">
        <v>12</v>
      </c>
      <c r="O12" s="1">
        <v>12</v>
      </c>
      <c r="P12" s="28">
        <v>12</v>
      </c>
      <c r="Q12" s="1">
        <v>12</v>
      </c>
      <c r="R12" s="1">
        <v>12</v>
      </c>
      <c r="S12" s="1">
        <v>12</v>
      </c>
      <c r="T12" s="1">
        <v>12</v>
      </c>
      <c r="U12" s="1">
        <v>12</v>
      </c>
      <c r="V12" s="28">
        <v>12</v>
      </c>
      <c r="W12" s="1">
        <v>12</v>
      </c>
      <c r="X12" s="1">
        <v>12</v>
      </c>
      <c r="Y12" s="1">
        <v>12</v>
      </c>
      <c r="Z12" s="1">
        <v>12</v>
      </c>
      <c r="AA12" s="1">
        <v>12</v>
      </c>
      <c r="AB12" s="28">
        <v>12</v>
      </c>
      <c r="AC12" s="1">
        <v>12</v>
      </c>
      <c r="AD12" s="1">
        <v>12</v>
      </c>
      <c r="AE12" s="1">
        <v>12</v>
      </c>
      <c r="AF12" s="1">
        <v>12</v>
      </c>
      <c r="AG12" s="1">
        <v>12</v>
      </c>
      <c r="AH12" s="28">
        <v>12</v>
      </c>
      <c r="AI12" s="1">
        <v>12</v>
      </c>
      <c r="AJ12" s="1">
        <v>12</v>
      </c>
      <c r="AK12" s="1">
        <v>12</v>
      </c>
      <c r="AL12" s="1">
        <v>12</v>
      </c>
      <c r="AM12" s="1">
        <v>12</v>
      </c>
    </row>
    <row r="13" spans="2:39" x14ac:dyDescent="0.35">
      <c r="B13" s="3" t="s">
        <v>13</v>
      </c>
      <c r="C13" s="1"/>
      <c r="D13" s="28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28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28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28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28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28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</row>
    <row r="14" spans="2:39" x14ac:dyDescent="0.35">
      <c r="B14" s="5" t="s">
        <v>14</v>
      </c>
      <c r="C14" s="1"/>
      <c r="D14" s="28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28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28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28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28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28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</row>
    <row r="15" spans="2:39" x14ac:dyDescent="0.35">
      <c r="B15" s="5" t="s">
        <v>15</v>
      </c>
      <c r="D15" s="28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28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28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28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28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28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</row>
    <row r="16" spans="2:39" x14ac:dyDescent="0.35">
      <c r="B16" s="3" t="s">
        <v>16</v>
      </c>
      <c r="D16" s="28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28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28">
        <v>2</v>
      </c>
      <c r="Q16" s="1">
        <v>2</v>
      </c>
      <c r="R16" s="1">
        <v>2</v>
      </c>
      <c r="S16" s="1">
        <v>2</v>
      </c>
      <c r="T16" s="1">
        <v>2</v>
      </c>
      <c r="U16" s="1">
        <v>2</v>
      </c>
      <c r="V16" s="28">
        <v>2</v>
      </c>
      <c r="W16" s="1">
        <v>2</v>
      </c>
      <c r="X16" s="1">
        <v>2</v>
      </c>
      <c r="Y16" s="1">
        <v>2</v>
      </c>
      <c r="Z16" s="1">
        <v>2</v>
      </c>
      <c r="AA16" s="1">
        <v>2</v>
      </c>
      <c r="AB16" s="28">
        <v>2</v>
      </c>
      <c r="AC16" s="1">
        <v>2</v>
      </c>
      <c r="AD16" s="1">
        <v>2</v>
      </c>
      <c r="AE16" s="1">
        <v>2</v>
      </c>
      <c r="AF16" s="1">
        <v>2</v>
      </c>
      <c r="AG16" s="1">
        <v>2</v>
      </c>
      <c r="AH16" s="28">
        <v>2</v>
      </c>
      <c r="AI16" s="1">
        <v>2</v>
      </c>
      <c r="AJ16" s="1">
        <v>2</v>
      </c>
      <c r="AK16" s="1">
        <v>2</v>
      </c>
      <c r="AL16" s="1">
        <v>2</v>
      </c>
      <c r="AM16" s="1">
        <v>2</v>
      </c>
    </row>
    <row r="17" spans="2:39" x14ac:dyDescent="0.35">
      <c r="B17" s="3" t="s">
        <v>17</v>
      </c>
      <c r="D17" s="28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28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28">
        <v>27</v>
      </c>
      <c r="Q17" s="1">
        <v>27</v>
      </c>
      <c r="R17" s="1">
        <v>27</v>
      </c>
      <c r="S17" s="1">
        <v>27</v>
      </c>
      <c r="T17" s="1">
        <v>27</v>
      </c>
      <c r="U17" s="1">
        <v>27</v>
      </c>
      <c r="V17" s="28">
        <v>27</v>
      </c>
      <c r="W17" s="1">
        <v>27</v>
      </c>
      <c r="X17" s="1">
        <v>27</v>
      </c>
      <c r="Y17" s="1">
        <v>27</v>
      </c>
      <c r="Z17" s="1">
        <v>27</v>
      </c>
      <c r="AA17" s="1">
        <v>27</v>
      </c>
      <c r="AB17" s="28">
        <v>27</v>
      </c>
      <c r="AC17" s="1">
        <v>27</v>
      </c>
      <c r="AD17" s="1">
        <v>27</v>
      </c>
      <c r="AE17" s="1">
        <v>27</v>
      </c>
      <c r="AF17" s="1">
        <v>27</v>
      </c>
      <c r="AG17" s="1">
        <v>27</v>
      </c>
      <c r="AH17" s="28">
        <v>27</v>
      </c>
      <c r="AI17" s="1">
        <v>27</v>
      </c>
      <c r="AJ17" s="1">
        <v>27</v>
      </c>
      <c r="AK17" s="1">
        <v>27</v>
      </c>
      <c r="AL17" s="1">
        <v>27</v>
      </c>
      <c r="AM17" s="1">
        <v>27</v>
      </c>
    </row>
    <row r="18" spans="2:39" x14ac:dyDescent="0.35">
      <c r="B18" s="3" t="s">
        <v>18</v>
      </c>
      <c r="D18" s="28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28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28">
        <v>1</v>
      </c>
      <c r="Q18" s="1">
        <v>1</v>
      </c>
      <c r="R18" s="1">
        <v>1</v>
      </c>
      <c r="S18" s="1">
        <v>1</v>
      </c>
      <c r="T18" s="1">
        <v>1</v>
      </c>
      <c r="U18" s="1">
        <v>1</v>
      </c>
      <c r="V18" s="28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28">
        <v>1</v>
      </c>
      <c r="AC18" s="1">
        <v>1</v>
      </c>
      <c r="AD18" s="1">
        <v>1</v>
      </c>
      <c r="AE18" s="1">
        <v>1</v>
      </c>
      <c r="AF18" s="1">
        <v>1</v>
      </c>
      <c r="AG18" s="1">
        <v>1</v>
      </c>
      <c r="AH18" s="28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</row>
    <row r="19" spans="2:39" x14ac:dyDescent="0.35">
      <c r="B19" s="3" t="s">
        <v>19</v>
      </c>
      <c r="D19" s="28">
        <v>2</v>
      </c>
      <c r="E19" s="1">
        <v>2</v>
      </c>
      <c r="F19" s="1">
        <v>2</v>
      </c>
      <c r="G19" s="1">
        <v>2</v>
      </c>
      <c r="H19" s="1">
        <v>2</v>
      </c>
      <c r="I19" s="1">
        <v>2</v>
      </c>
      <c r="J19" s="28">
        <v>2</v>
      </c>
      <c r="K19" s="1">
        <v>2</v>
      </c>
      <c r="L19" s="1">
        <v>2</v>
      </c>
      <c r="M19" s="1">
        <v>2</v>
      </c>
      <c r="N19" s="1">
        <v>2</v>
      </c>
      <c r="O19" s="1">
        <v>2</v>
      </c>
      <c r="P19" s="28">
        <v>2</v>
      </c>
      <c r="Q19" s="1">
        <v>2</v>
      </c>
      <c r="R19" s="1">
        <v>2</v>
      </c>
      <c r="S19" s="1">
        <v>2</v>
      </c>
      <c r="T19" s="1">
        <v>2</v>
      </c>
      <c r="U19" s="1">
        <v>2</v>
      </c>
      <c r="V19" s="28">
        <v>2</v>
      </c>
      <c r="W19" s="1">
        <v>2</v>
      </c>
      <c r="X19" s="1">
        <v>2</v>
      </c>
      <c r="Y19" s="1">
        <v>2</v>
      </c>
      <c r="Z19" s="1">
        <v>2</v>
      </c>
      <c r="AA19" s="1">
        <v>2</v>
      </c>
      <c r="AB19" s="28">
        <v>2</v>
      </c>
      <c r="AC19" s="1">
        <v>2</v>
      </c>
      <c r="AD19" s="1">
        <v>2</v>
      </c>
      <c r="AE19" s="1">
        <v>2</v>
      </c>
      <c r="AF19" s="1">
        <v>2</v>
      </c>
      <c r="AG19" s="1">
        <v>2</v>
      </c>
      <c r="AH19" s="28">
        <v>2</v>
      </c>
      <c r="AI19" s="1">
        <v>2</v>
      </c>
      <c r="AJ19" s="1">
        <v>2</v>
      </c>
      <c r="AK19" s="1">
        <v>2</v>
      </c>
      <c r="AL19" s="1">
        <v>2</v>
      </c>
      <c r="AM19" s="1">
        <v>2</v>
      </c>
    </row>
    <row r="20" spans="2:39" x14ac:dyDescent="0.35">
      <c r="B20" s="3" t="s">
        <v>20</v>
      </c>
      <c r="D20" s="28" t="s">
        <v>21</v>
      </c>
      <c r="E20" s="1" t="s">
        <v>21</v>
      </c>
      <c r="F20" s="1" t="s">
        <v>21</v>
      </c>
      <c r="G20" s="1" t="s">
        <v>21</v>
      </c>
      <c r="H20" s="1" t="s">
        <v>21</v>
      </c>
      <c r="I20" s="1" t="s">
        <v>21</v>
      </c>
      <c r="J20" s="28" t="s">
        <v>21</v>
      </c>
      <c r="K20" s="1" t="s">
        <v>21</v>
      </c>
      <c r="L20" s="1" t="s">
        <v>21</v>
      </c>
      <c r="M20" s="1" t="s">
        <v>21</v>
      </c>
      <c r="N20" s="1" t="s">
        <v>21</v>
      </c>
      <c r="O20" s="1" t="s">
        <v>21</v>
      </c>
      <c r="P20" s="28" t="s">
        <v>21</v>
      </c>
      <c r="Q20" s="1" t="s">
        <v>21</v>
      </c>
      <c r="R20" s="1" t="s">
        <v>21</v>
      </c>
      <c r="S20" s="1" t="s">
        <v>21</v>
      </c>
      <c r="T20" s="1" t="s">
        <v>21</v>
      </c>
      <c r="U20" s="1" t="s">
        <v>21</v>
      </c>
      <c r="V20" s="28" t="s">
        <v>21</v>
      </c>
      <c r="W20" s="1" t="s">
        <v>21</v>
      </c>
      <c r="X20" s="1" t="s">
        <v>21</v>
      </c>
      <c r="Y20" s="1" t="s">
        <v>21</v>
      </c>
      <c r="Z20" s="1" t="s">
        <v>21</v>
      </c>
      <c r="AA20" s="1" t="s">
        <v>21</v>
      </c>
      <c r="AB20" s="28" t="s">
        <v>21</v>
      </c>
      <c r="AC20" s="1" t="s">
        <v>21</v>
      </c>
      <c r="AD20" s="1" t="s">
        <v>21</v>
      </c>
      <c r="AE20" s="1" t="s">
        <v>21</v>
      </c>
      <c r="AF20" s="1" t="s">
        <v>21</v>
      </c>
      <c r="AG20" s="1" t="s">
        <v>21</v>
      </c>
      <c r="AH20" s="28" t="s">
        <v>21</v>
      </c>
      <c r="AI20" s="1" t="s">
        <v>21</v>
      </c>
      <c r="AJ20" s="1" t="s">
        <v>21</v>
      </c>
      <c r="AK20" s="1" t="s">
        <v>21</v>
      </c>
      <c r="AL20" s="1" t="s">
        <v>21</v>
      </c>
      <c r="AM20" s="1" t="s">
        <v>21</v>
      </c>
    </row>
    <row r="21" spans="2:39" x14ac:dyDescent="0.35">
      <c r="B21" s="6" t="s">
        <v>22</v>
      </c>
      <c r="D21" s="29"/>
      <c r="E21" s="17"/>
      <c r="F21" s="17"/>
      <c r="G21" s="17"/>
      <c r="H21" s="17"/>
      <c r="I21" s="17"/>
      <c r="J21" s="29"/>
      <c r="K21" s="17"/>
      <c r="L21" s="17"/>
      <c r="M21" s="17"/>
      <c r="N21" s="17"/>
      <c r="O21" s="17"/>
      <c r="P21" s="29"/>
      <c r="Q21" s="17"/>
      <c r="R21" s="17"/>
      <c r="S21" s="17"/>
      <c r="T21" s="17"/>
      <c r="U21" s="17"/>
      <c r="V21" s="29"/>
      <c r="W21" s="17"/>
      <c r="X21" s="17"/>
      <c r="Y21" s="17"/>
      <c r="Z21" s="17"/>
      <c r="AA21" s="17"/>
      <c r="AB21" s="29"/>
      <c r="AC21" s="17"/>
      <c r="AD21" s="17"/>
      <c r="AE21" s="17"/>
      <c r="AF21" s="17"/>
      <c r="AG21" s="17"/>
      <c r="AH21" s="29"/>
      <c r="AI21" s="17"/>
      <c r="AJ21" s="17"/>
      <c r="AK21" s="17"/>
      <c r="AL21" s="17"/>
      <c r="AM21" s="17"/>
    </row>
    <row r="22" spans="2:39" x14ac:dyDescent="0.35">
      <c r="B22" s="7" t="s">
        <v>23</v>
      </c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28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28" t="s">
        <v>24</v>
      </c>
      <c r="Q22" s="1" t="s">
        <v>24</v>
      </c>
      <c r="R22" s="1" t="s">
        <v>24</v>
      </c>
      <c r="S22" s="1" t="s">
        <v>24</v>
      </c>
      <c r="T22" s="1" t="s">
        <v>24</v>
      </c>
      <c r="U22" s="1" t="s">
        <v>24</v>
      </c>
      <c r="V22" s="28" t="s">
        <v>24</v>
      </c>
      <c r="W22" s="1" t="s">
        <v>24</v>
      </c>
      <c r="X22" s="1" t="s">
        <v>24</v>
      </c>
      <c r="Y22" s="1" t="s">
        <v>24</v>
      </c>
      <c r="Z22" s="1" t="s">
        <v>24</v>
      </c>
      <c r="AA22" s="1" t="s">
        <v>24</v>
      </c>
      <c r="AB22" s="28" t="s">
        <v>24</v>
      </c>
      <c r="AC22" s="1" t="s">
        <v>24</v>
      </c>
      <c r="AD22" s="1" t="s">
        <v>24</v>
      </c>
      <c r="AE22" s="1" t="s">
        <v>24</v>
      </c>
      <c r="AF22" s="1" t="s">
        <v>24</v>
      </c>
      <c r="AG22" s="1" t="s">
        <v>24</v>
      </c>
      <c r="AH22" s="28" t="s">
        <v>24</v>
      </c>
      <c r="AI22" s="1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</row>
    <row r="23" spans="2:39" x14ac:dyDescent="0.35">
      <c r="B23" s="7" t="s">
        <v>25</v>
      </c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28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28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28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28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28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</row>
    <row r="24" spans="2:39" x14ac:dyDescent="0.35">
      <c r="B24" s="7" t="s">
        <v>26</v>
      </c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28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28" t="s">
        <v>27</v>
      </c>
      <c r="Q24" s="1" t="s">
        <v>27</v>
      </c>
      <c r="R24" s="1" t="s">
        <v>27</v>
      </c>
      <c r="S24" s="1" t="s">
        <v>27</v>
      </c>
      <c r="T24" s="1" t="s">
        <v>27</v>
      </c>
      <c r="U24" s="1" t="s">
        <v>27</v>
      </c>
      <c r="V24" s="28" t="s">
        <v>27</v>
      </c>
      <c r="W24" s="1" t="s">
        <v>27</v>
      </c>
      <c r="X24" s="1" t="s">
        <v>27</v>
      </c>
      <c r="Y24" s="1" t="s">
        <v>27</v>
      </c>
      <c r="Z24" s="1" t="s">
        <v>27</v>
      </c>
      <c r="AA24" s="1" t="s">
        <v>27</v>
      </c>
      <c r="AB24" s="28" t="s">
        <v>27</v>
      </c>
      <c r="AC24" s="1" t="s">
        <v>27</v>
      </c>
      <c r="AD24" s="1" t="s">
        <v>27</v>
      </c>
      <c r="AE24" s="1" t="s">
        <v>27</v>
      </c>
      <c r="AF24" s="1" t="s">
        <v>27</v>
      </c>
      <c r="AG24" s="1" t="s">
        <v>27</v>
      </c>
      <c r="AH24" s="28" t="s">
        <v>27</v>
      </c>
      <c r="AI24" s="1" t="s">
        <v>27</v>
      </c>
      <c r="AJ24" s="1" t="s">
        <v>27</v>
      </c>
      <c r="AK24" s="1" t="s">
        <v>27</v>
      </c>
      <c r="AL24" s="1" t="s">
        <v>27</v>
      </c>
      <c r="AM24" s="1" t="s">
        <v>27</v>
      </c>
    </row>
    <row r="25" spans="2:39" x14ac:dyDescent="0.35">
      <c r="B25" s="6" t="s">
        <v>28</v>
      </c>
      <c r="D25" s="29"/>
      <c r="E25" s="17"/>
      <c r="F25" s="17"/>
      <c r="G25" s="17"/>
      <c r="H25" s="17"/>
      <c r="I25" s="17"/>
      <c r="J25" s="29"/>
      <c r="K25" s="17"/>
      <c r="L25" s="17"/>
      <c r="M25" s="17"/>
      <c r="N25" s="17"/>
      <c r="O25" s="17"/>
      <c r="P25" s="29"/>
      <c r="Q25" s="17"/>
      <c r="R25" s="17"/>
      <c r="S25" s="17"/>
      <c r="T25" s="17"/>
      <c r="U25" s="17"/>
      <c r="V25" s="29"/>
      <c r="W25" s="17"/>
      <c r="X25" s="17"/>
      <c r="Y25" s="17"/>
      <c r="Z25" s="17"/>
      <c r="AA25" s="17"/>
      <c r="AB25" s="29"/>
      <c r="AC25" s="17"/>
      <c r="AD25" s="17"/>
      <c r="AE25" s="17"/>
      <c r="AF25" s="17"/>
      <c r="AG25" s="17"/>
      <c r="AH25" s="29"/>
      <c r="AI25" s="17"/>
      <c r="AJ25" s="17"/>
      <c r="AK25" s="17"/>
      <c r="AL25" s="17"/>
      <c r="AM25" s="17"/>
    </row>
    <row r="26" spans="2:39" x14ac:dyDescent="0.35">
      <c r="B26" s="8" t="s">
        <v>29</v>
      </c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1" cm="1">
        <f t="array" ref="I26">Comm_MCS_ModOrd(I16,I17)</f>
        <v>8</v>
      </c>
      <c r="J26" s="28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" cm="1">
        <f t="array" ref="O26">Comm_MCS_ModOrd(O16,O17)</f>
        <v>8</v>
      </c>
      <c r="P26" s="28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" cm="1">
        <f t="array" ref="S26">Comm_MCS_ModOrd(S16,S17)</f>
        <v>8</v>
      </c>
      <c r="T26" s="1" cm="1">
        <f t="array" ref="T26">Comm_MCS_ModOrd(T16,T17)</f>
        <v>8</v>
      </c>
      <c r="U26" s="1" cm="1">
        <f t="array" ref="U26">Comm_MCS_ModOrd(U16,U17)</f>
        <v>8</v>
      </c>
      <c r="V26" s="28" cm="1">
        <f t="array" ref="V26">Comm_MCS_ModOrd(V16,V17)</f>
        <v>8</v>
      </c>
      <c r="W26" s="1" cm="1">
        <f t="array" ref="W26">Comm_MCS_ModOrd(W16,W17)</f>
        <v>8</v>
      </c>
      <c r="X26" s="1" cm="1">
        <f t="array" ref="X26">Comm_MCS_ModOrd(X16,X17)</f>
        <v>8</v>
      </c>
      <c r="Y26" s="1" cm="1">
        <f t="array" ref="Y26">Comm_MCS_ModOrd(Y16,Y17)</f>
        <v>8</v>
      </c>
      <c r="Z26" s="1" cm="1">
        <f t="array" ref="Z26">Comm_MCS_ModOrd(Z16,Z17)</f>
        <v>8</v>
      </c>
      <c r="AA26" s="1" cm="1">
        <f t="array" ref="AA26">Comm_MCS_ModOrd(AA16,AA17)</f>
        <v>8</v>
      </c>
      <c r="AB26" s="28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1" cm="1">
        <f t="array" ref="AE26">Comm_MCS_ModOrd(AE16,AE17)</f>
        <v>8</v>
      </c>
      <c r="AF26" s="1" cm="1">
        <f t="array" ref="AF26">Comm_MCS_ModOrd(AF16,AF17)</f>
        <v>8</v>
      </c>
      <c r="AG26" s="1" cm="1">
        <f t="array" ref="AG26">Comm_MCS_ModOrd(AG16,AG17)</f>
        <v>8</v>
      </c>
      <c r="AH26" s="28" cm="1">
        <f t="array" ref="AH26">Comm_MCS_ModOrd(AH16,AH17)</f>
        <v>8</v>
      </c>
      <c r="AI26" s="1" cm="1">
        <f t="array" ref="AI26">Comm_MCS_ModOrd(AI16,AI17)</f>
        <v>8</v>
      </c>
      <c r="AJ26" s="1" cm="1">
        <f t="array" ref="AJ26">Comm_MCS_ModOrd(AJ16,AJ17)</f>
        <v>8</v>
      </c>
      <c r="AK26" s="1" cm="1">
        <f t="array" ref="AK26">Comm_MCS_ModOrd(AK16,AK17)</f>
        <v>8</v>
      </c>
      <c r="AL26" s="1" cm="1">
        <f t="array" ref="AL26">Comm_MCS_ModOrd(AL16,AL17)</f>
        <v>8</v>
      </c>
      <c r="AM26" s="1" cm="1">
        <f t="array" ref="AM26">Comm_MCS_ModOrd(AM16,AM17)</f>
        <v>8</v>
      </c>
    </row>
    <row r="27" spans="2:39" x14ac:dyDescent="0.35">
      <c r="B27" s="8" t="s">
        <v>30</v>
      </c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1" cm="1">
        <f t="array" ref="I27">Comm_MCS_CodeRate(I16,I17)</f>
        <v>948</v>
      </c>
      <c r="J27" s="28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" cm="1">
        <f t="array" ref="O27">Comm_MCS_CodeRate(O16,O17)</f>
        <v>948</v>
      </c>
      <c r="P27" s="28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" cm="1">
        <f t="array" ref="S27">Comm_MCS_CodeRate(S16,S17)</f>
        <v>948</v>
      </c>
      <c r="T27" s="1" cm="1">
        <f t="array" ref="T27">Comm_MCS_CodeRate(T16,T17)</f>
        <v>948</v>
      </c>
      <c r="U27" s="1" cm="1">
        <f t="array" ref="U27">Comm_MCS_CodeRate(U16,U17)</f>
        <v>948</v>
      </c>
      <c r="V27" s="28" cm="1">
        <f t="array" ref="V27">Comm_MCS_CodeRate(V16,V17)</f>
        <v>948</v>
      </c>
      <c r="W27" s="1" cm="1">
        <f t="array" ref="W27">Comm_MCS_CodeRate(W16,W17)</f>
        <v>948</v>
      </c>
      <c r="X27" s="1" cm="1">
        <f t="array" ref="X27">Comm_MCS_CodeRate(X16,X17)</f>
        <v>948</v>
      </c>
      <c r="Y27" s="1" cm="1">
        <f t="array" ref="Y27">Comm_MCS_CodeRate(Y16,Y17)</f>
        <v>948</v>
      </c>
      <c r="Z27" s="1" cm="1">
        <f t="array" ref="Z27">Comm_MCS_CodeRate(Z16,Z17)</f>
        <v>948</v>
      </c>
      <c r="AA27" s="1" cm="1">
        <f t="array" ref="AA27">Comm_MCS_CodeRate(AA16,AA17)</f>
        <v>948</v>
      </c>
      <c r="AB27" s="28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1" cm="1">
        <f t="array" ref="AE27">Comm_MCS_CodeRate(AE16,AE17)</f>
        <v>948</v>
      </c>
      <c r="AF27" s="1" cm="1">
        <f t="array" ref="AF27">Comm_MCS_CodeRate(AF16,AF17)</f>
        <v>948</v>
      </c>
      <c r="AG27" s="1" cm="1">
        <f t="array" ref="AG27">Comm_MCS_CodeRate(AG16,AG17)</f>
        <v>948</v>
      </c>
      <c r="AH27" s="28" cm="1">
        <f t="array" ref="AH27">Comm_MCS_CodeRate(AH16,AH17)</f>
        <v>948</v>
      </c>
      <c r="AI27" s="1" cm="1">
        <f t="array" ref="AI27">Comm_MCS_CodeRate(AI16,AI17)</f>
        <v>948</v>
      </c>
      <c r="AJ27" s="1" cm="1">
        <f t="array" ref="AJ27">Comm_MCS_CodeRate(AJ16,AJ17)</f>
        <v>948</v>
      </c>
      <c r="AK27" s="1" cm="1">
        <f t="array" ref="AK27">Comm_MCS_CodeRate(AK16,AK17)</f>
        <v>948</v>
      </c>
      <c r="AL27" s="1" cm="1">
        <f t="array" ref="AL27">Comm_MCS_CodeRate(AL16,AL17)</f>
        <v>948</v>
      </c>
      <c r="AM27" s="1" cm="1">
        <f t="array" ref="AM27">Comm_MCS_CodeRate(AM16,AM17)</f>
        <v>948</v>
      </c>
    </row>
    <row r="28" spans="2:39" x14ac:dyDescent="0.35">
      <c r="B28" s="9" t="s">
        <v>31</v>
      </c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1" cm="1">
        <f t="array" ref="I28">Comm_Z(I11,I26,I27,I12,I13,I10/I18)</f>
        <v>384</v>
      </c>
      <c r="J28" s="28" cm="1">
        <f t="array" ref="J28">Comm_Z(J11,J26,J27,J12,J13,J10/J18)</f>
        <v>384</v>
      </c>
      <c r="K28" s="1" cm="1">
        <f t="array" ref="K28">Comm_Z(K11,K26,K27,K12,K13,K10/K18)</f>
        <v>384</v>
      </c>
      <c r="L28" s="1" cm="1">
        <f t="array" ref="L28">Comm_Z(L11,L26,L27,L12,L13,L10/L18)</f>
        <v>384</v>
      </c>
      <c r="M28" s="1" cm="1">
        <f t="array" ref="M28">Comm_Z(M11,M26,M27,M12,M13,M10/M18)</f>
        <v>384</v>
      </c>
      <c r="N28" s="1" cm="1">
        <f t="array" ref="N28">Comm_Z(N11,N26,N27,N12,N13,N10/N18)</f>
        <v>384</v>
      </c>
      <c r="O28" s="1" cm="1">
        <f t="array" ref="O28">Comm_Z(O11,O26,O27,O12,O13,O10/O18)</f>
        <v>384</v>
      </c>
      <c r="P28" s="28" cm="1">
        <f t="array" ref="P28">Comm_Z(P11,P26,P27,P12,P13,P10/P18)</f>
        <v>320</v>
      </c>
      <c r="Q28" s="1" cm="1">
        <f t="array" ref="Q28">Comm_Z(Q11,Q26,Q27,Q12,Q13,Q10/Q18)</f>
        <v>320</v>
      </c>
      <c r="R28" s="1" cm="1">
        <f t="array" ref="R28">Comm_Z(R11,R26,R27,R12,R13,R10/R18)</f>
        <v>320</v>
      </c>
      <c r="S28" s="1" cm="1">
        <f t="array" ref="S28">Comm_Z(S11,S26,S27,S12,S13,S10/S18)</f>
        <v>320</v>
      </c>
      <c r="T28" s="1" cm="1">
        <f t="array" ref="T28">Comm_Z(T11,T26,T27,T12,T13,T10/T18)</f>
        <v>320</v>
      </c>
      <c r="U28" s="1" cm="1">
        <f t="array" ref="U28">Comm_Z(U11,U26,U27,U12,U13,U10/U18)</f>
        <v>320</v>
      </c>
      <c r="V28" s="28" cm="1">
        <f t="array" ref="V28">Comm_Z(V11,V26,V27,V12,V13,V10/V18)</f>
        <v>288</v>
      </c>
      <c r="W28" s="1" cm="1">
        <f t="array" ref="W28">Comm_Z(W11,W26,W27,W12,W13,W10/W18)</f>
        <v>288</v>
      </c>
      <c r="X28" s="1" cm="1">
        <f t="array" ref="X28">Comm_Z(X11,X26,X27,X12,X13,X10/X18)</f>
        <v>288</v>
      </c>
      <c r="Y28" s="1" cm="1">
        <f t="array" ref="Y28">Comm_Z(Y11,Y26,Y27,Y12,Y13,Y10/Y18)</f>
        <v>288</v>
      </c>
      <c r="Z28" s="1" cm="1">
        <f t="array" ref="Z28">Comm_Z(Z11,Z26,Z27,Z12,Z13,Z10/Z18)</f>
        <v>288</v>
      </c>
      <c r="AA28" s="1" cm="1">
        <f t="array" ref="AA28">Comm_Z(AA11,AA26,AA27,AA12,AA13,AA10/AA18)</f>
        <v>288</v>
      </c>
      <c r="AB28" s="28" cm="1">
        <f t="array" ref="AB28">Comm_Z(AB11,AB26,AB27,AB12,AB13,AB10/AB18)</f>
        <v>384</v>
      </c>
      <c r="AC28" s="1" cm="1">
        <f t="array" ref="AC28">Comm_Z(AC11,AC26,AC27,AC12,AC13,AC10/AC18)</f>
        <v>384</v>
      </c>
      <c r="AD28" s="1" cm="1">
        <f t="array" ref="AD28">Comm_Z(AD11,AD26,AD27,AD12,AD13,AD10/AD18)</f>
        <v>384</v>
      </c>
      <c r="AE28" s="1" cm="1">
        <f t="array" ref="AE28">Comm_Z(AE11,AE26,AE27,AE12,AE13,AE10/AE18)</f>
        <v>384</v>
      </c>
      <c r="AF28" s="1" cm="1">
        <f t="array" ref="AF28">Comm_Z(AF11,AF26,AF27,AF12,AF13,AF10/AF18)</f>
        <v>384</v>
      </c>
      <c r="AG28" s="1" cm="1">
        <f t="array" ref="AG28">Comm_Z(AG11,AG26,AG27,AG12,AG13,AG10/AG18)</f>
        <v>384</v>
      </c>
      <c r="AH28" s="28" cm="1">
        <f t="array" ref="AH28">Comm_Z(AH11,AH26,AH27,AH12,AH13,AH10/AH18)</f>
        <v>384</v>
      </c>
      <c r="AI28" s="1" cm="1">
        <f t="array" ref="AI28">Comm_Z(AI11,AI26,AI27,AI12,AI13,AI10/AI18)</f>
        <v>384</v>
      </c>
      <c r="AJ28" s="1" cm="1">
        <f t="array" ref="AJ28">Comm_Z(AJ11,AJ26,AJ27,AJ12,AJ13,AJ10/AJ18)</f>
        <v>384</v>
      </c>
      <c r="AK28" s="1" cm="1">
        <f t="array" ref="AK28">Comm_Z(AK11,AK26,AK27,AK12,AK13,AK10/AK18)</f>
        <v>384</v>
      </c>
      <c r="AL28" s="1" cm="1">
        <f t="array" ref="AL28">Comm_Z(AL11,AL26,AL27,AL12,AL13,AL10/AL18)</f>
        <v>384</v>
      </c>
      <c r="AM28" s="1" cm="1">
        <f t="array" ref="AM28">Comm_Z(AM11,AM26,AM27,AM12,AM13,AM10/AM18)</f>
        <v>384</v>
      </c>
    </row>
    <row r="29" spans="2:39" x14ac:dyDescent="0.35">
      <c r="B29" s="9" t="s">
        <v>32</v>
      </c>
      <c r="D29" s="28" cm="1">
        <f t="array" ref="D29">Comm_TBS(D11,D26,D27,D12,D13,D10/D18)</f>
        <v>32776</v>
      </c>
      <c r="E29" s="1" cm="1">
        <f t="array" ref="E29">Comm_TBS(E11,E26,E27,E12,E13,E10/E18)</f>
        <v>32776</v>
      </c>
      <c r="F29" s="1" cm="1">
        <f t="array" ref="F29">Comm_TBS(F11,F26,F27,F12,F13,F10/F18)</f>
        <v>32776</v>
      </c>
      <c r="G29" s="1" cm="1">
        <f t="array" ref="G29">Comm_TBS(G11,G26,G27,G12,G13,G10/G18)</f>
        <v>32776</v>
      </c>
      <c r="H29" s="1" cm="1">
        <f t="array" ref="H29">Comm_TBS(H11,H26,H27,H12,H13,H10/H18)</f>
        <v>32776</v>
      </c>
      <c r="I29" s="1" cm="1">
        <f t="array" ref="I29">Comm_TBS(I11,I26,I27,I12,I13,I10/I18)</f>
        <v>32776</v>
      </c>
      <c r="J29" s="28" cm="1">
        <f t="array" ref="J29">Comm_TBS(J11,J26,J27,J12,J13,J10/J18)</f>
        <v>15624</v>
      </c>
      <c r="K29" s="1" cm="1">
        <f t="array" ref="K29">Comm_TBS(K11,K26,K27,K12,K13,K10/K18)</f>
        <v>15624</v>
      </c>
      <c r="L29" s="1" cm="1">
        <f t="array" ref="L29">Comm_TBS(L11,L26,L27,L12,L13,L10/L18)</f>
        <v>15624</v>
      </c>
      <c r="M29" s="1" cm="1">
        <f t="array" ref="M29">Comm_TBS(M11,M26,M27,M12,M13,M10/M18)</f>
        <v>15624</v>
      </c>
      <c r="N29" s="1" cm="1">
        <f t="array" ref="N29">Comm_TBS(N11,N26,N27,N12,N13,N10/N18)</f>
        <v>15624</v>
      </c>
      <c r="O29" s="1" cm="1">
        <f t="array" ref="O29">Comm_TBS(O11,O26,O27,O12,O13,O10/O18)</f>
        <v>15624</v>
      </c>
      <c r="P29" s="28" cm="1">
        <f t="array" ref="P29">Comm_TBS(P11,P26,P27,P12,P13,P10/P18)</f>
        <v>25608</v>
      </c>
      <c r="Q29" s="1" cm="1">
        <f t="array" ref="Q29">Comm_TBS(Q11,Q26,Q27,Q12,Q13,Q10/Q18)</f>
        <v>25608</v>
      </c>
      <c r="R29" s="1" cm="1">
        <f t="array" ref="R29">Comm_TBS(R11,R26,R27,R12,R13,R10/R18)</f>
        <v>25608</v>
      </c>
      <c r="S29" s="1" cm="1">
        <f t="array" ref="S29">Comm_TBS(S11,S26,S27,S12,S13,S10/S18)</f>
        <v>25608</v>
      </c>
      <c r="T29" s="1" cm="1">
        <f t="array" ref="T29">Comm_TBS(T11,T26,T27,T12,T13,T10/T18)</f>
        <v>25608</v>
      </c>
      <c r="U29" s="1" cm="1">
        <f t="array" ref="U29">Comm_TBS(U11,U26,U27,U12,U13,U10/U18)</f>
        <v>25608</v>
      </c>
      <c r="V29" s="28" cm="1">
        <f t="array" ref="V29">Comm_TBS(V11,V26,V27,V12,V13,V10/V18)</f>
        <v>11784</v>
      </c>
      <c r="W29" s="1" cm="1">
        <f t="array" ref="W29">Comm_TBS(W11,W26,W27,W12,W13,W10/W18)</f>
        <v>11784</v>
      </c>
      <c r="X29" s="1" cm="1">
        <f t="array" ref="X29">Comm_TBS(X11,X26,X27,X12,X13,X10/X18)</f>
        <v>11784</v>
      </c>
      <c r="Y29" s="1" cm="1">
        <f t="array" ref="Y29">Comm_TBS(Y11,Y26,Y27,Y12,Y13,Y10/Y18)</f>
        <v>11784</v>
      </c>
      <c r="Z29" s="1" cm="1">
        <f t="array" ref="Z29">Comm_TBS(Z11,Z26,Z27,Z12,Z13,Z10/Z18)</f>
        <v>11784</v>
      </c>
      <c r="AA29" s="1" cm="1">
        <f t="array" ref="AA29">Comm_TBS(AA11,AA26,AA27,AA12,AA13,AA10/AA18)</f>
        <v>11784</v>
      </c>
      <c r="AB29" s="28" cm="1">
        <f t="array" ref="AB29">Comm_TBS(AB11,AB26,AB27,AB12,AB13,AB10/AB18)</f>
        <v>15624</v>
      </c>
      <c r="AC29" s="1" cm="1">
        <f t="array" ref="AC29">Comm_TBS(AC11,AC26,AC27,AC12,AC13,AC10/AC18)</f>
        <v>15624</v>
      </c>
      <c r="AD29" s="1" cm="1">
        <f t="array" ref="AD29">Comm_TBS(AD11,AD26,AD27,AD12,AD13,AD10/AD18)</f>
        <v>15624</v>
      </c>
      <c r="AE29" s="1" cm="1">
        <f t="array" ref="AE29">Comm_TBS(AE11,AE26,AE27,AE12,AE13,AE10/AE18)</f>
        <v>15624</v>
      </c>
      <c r="AF29" s="1" cm="1">
        <f t="array" ref="AF29">Comm_TBS(AF11,AF26,AF27,AF12,AF13,AF10/AF18)</f>
        <v>15624</v>
      </c>
      <c r="AG29" s="1" cm="1">
        <f t="array" ref="AG29">Comm_TBS(AG11,AG26,AG27,AG12,AG13,AG10/AG18)</f>
        <v>15624</v>
      </c>
      <c r="AH29" s="28" cm="1">
        <f t="array" ref="AH29">Comm_TBS(AH11,AH26,AH27,AH12,AH13,AH10/AH18)</f>
        <v>7808</v>
      </c>
      <c r="AI29" s="1" cm="1">
        <f t="array" ref="AI29">Comm_TBS(AI11,AI26,AI27,AI12,AI13,AI10/AI18)</f>
        <v>7808</v>
      </c>
      <c r="AJ29" s="1" cm="1">
        <f t="array" ref="AJ29">Comm_TBS(AJ11,AJ26,AJ27,AJ12,AJ13,AJ10/AJ18)</f>
        <v>7808</v>
      </c>
      <c r="AK29" s="1" cm="1">
        <f t="array" ref="AK29">Comm_TBS(AK11,AK26,AK27,AK12,AK13,AK10/AK18)</f>
        <v>7808</v>
      </c>
      <c r="AL29" s="1" cm="1">
        <f t="array" ref="AL29">Comm_TBS(AL11,AL26,AL27,AL12,AL13,AL10/AL18)</f>
        <v>7808</v>
      </c>
      <c r="AM29" s="1" cm="1">
        <f t="array" ref="AM29">Comm_TBS(AM11,AM26,AM27,AM12,AM13,AM10/AM18)</f>
        <v>7808</v>
      </c>
    </row>
    <row r="30" spans="2:39" x14ac:dyDescent="0.35">
      <c r="B30" s="9" t="s">
        <v>33</v>
      </c>
      <c r="D30" s="28" cm="1">
        <f t="array" ref="D30">Comm_CB(D11,D26,D27,D12,D13,D10/D18)</f>
        <v>4</v>
      </c>
      <c r="E30" s="1" cm="1">
        <f t="array" ref="E30">Comm_CB(E11,E26,E27,E12,E13,E10/E18)</f>
        <v>4</v>
      </c>
      <c r="F30" s="1" cm="1">
        <f t="array" ref="F30">Comm_CB(F11,F26,F27,F12,F13,F10/F18)</f>
        <v>4</v>
      </c>
      <c r="G30" s="1" cm="1">
        <f t="array" ref="G30">Comm_CB(G11,G26,G27,G12,G13,G10/G18)</f>
        <v>4</v>
      </c>
      <c r="H30" s="1" cm="1">
        <f t="array" ref="H30">Comm_CB(H11,H26,H27,H12,H13,H10/H18)</f>
        <v>4</v>
      </c>
      <c r="I30" s="1" cm="1">
        <f t="array" ref="I30">Comm_CB(I11,I26,I27,I12,I13,I10/I18)</f>
        <v>4</v>
      </c>
      <c r="J30" s="28" cm="1">
        <f t="array" ref="J30">Comm_CB(J11,J26,J27,J12,J13,J10/J18)</f>
        <v>2</v>
      </c>
      <c r="K30" s="1" cm="1">
        <f t="array" ref="K30">Comm_CB(K11,K26,K27,K12,K13,K10/K18)</f>
        <v>2</v>
      </c>
      <c r="L30" s="1" cm="1">
        <f t="array" ref="L30">Comm_CB(L11,L26,L27,L12,L13,L10/L18)</f>
        <v>2</v>
      </c>
      <c r="M30" s="1" cm="1">
        <f t="array" ref="M30">Comm_CB(M11,M26,M27,M12,M13,M10/M18)</f>
        <v>2</v>
      </c>
      <c r="N30" s="1" cm="1">
        <f t="array" ref="N30">Comm_CB(N11,N26,N27,N12,N13,N10/N18)</f>
        <v>2</v>
      </c>
      <c r="O30" s="1" cm="1">
        <f t="array" ref="O30">Comm_CB(O11,O26,O27,O12,O13,O10/O18)</f>
        <v>2</v>
      </c>
      <c r="P30" s="28" cm="1">
        <f t="array" ref="P30">Comm_CB(P11,P26,P27,P12,P13,P10/P18)</f>
        <v>4</v>
      </c>
      <c r="Q30" s="1" cm="1">
        <f t="array" ref="Q30">Comm_CB(Q11,Q26,Q27,Q12,Q13,Q10/Q18)</f>
        <v>4</v>
      </c>
      <c r="R30" s="1" cm="1">
        <f t="array" ref="R30">Comm_CB(R11,R26,R27,R12,R13,R10/R18)</f>
        <v>4</v>
      </c>
      <c r="S30" s="1" cm="1">
        <f t="array" ref="S30">Comm_CB(S11,S26,S27,S12,S13,S10/S18)</f>
        <v>4</v>
      </c>
      <c r="T30" s="1" cm="1">
        <f t="array" ref="T30">Comm_CB(T11,T26,T27,T12,T13,T10/T18)</f>
        <v>4</v>
      </c>
      <c r="U30" s="1" cm="1">
        <f t="array" ref="U30">Comm_CB(U11,U26,U27,U12,U13,U10/U18)</f>
        <v>4</v>
      </c>
      <c r="V30" s="28" cm="1">
        <f t="array" ref="V30">Comm_CB(V11,V26,V27,V12,V13,V10/V18)</f>
        <v>2</v>
      </c>
      <c r="W30" s="1" cm="1">
        <f t="array" ref="W30">Comm_CB(W11,W26,W27,W12,W13,W10/W18)</f>
        <v>2</v>
      </c>
      <c r="X30" s="1" cm="1">
        <f t="array" ref="X30">Comm_CB(X11,X26,X27,X12,X13,X10/X18)</f>
        <v>2</v>
      </c>
      <c r="Y30" s="1" cm="1">
        <f t="array" ref="Y30">Comm_CB(Y11,Y26,Y27,Y12,Y13,Y10/Y18)</f>
        <v>2</v>
      </c>
      <c r="Z30" s="1" cm="1">
        <f t="array" ref="Z30">Comm_CB(Z11,Z26,Z27,Z12,Z13,Z10/Z18)</f>
        <v>2</v>
      </c>
      <c r="AA30" s="1" cm="1">
        <f t="array" ref="AA30">Comm_CB(AA11,AA26,AA27,AA12,AA13,AA10/AA18)</f>
        <v>2</v>
      </c>
      <c r="AB30" s="28" cm="1">
        <f t="array" ref="AB30">Comm_CB(AB11,AB26,AB27,AB12,AB13,AB10/AB18)</f>
        <v>2</v>
      </c>
      <c r="AC30" s="1" cm="1">
        <f t="array" ref="AC30">Comm_CB(AC11,AC26,AC27,AC12,AC13,AC10/AC18)</f>
        <v>2</v>
      </c>
      <c r="AD30" s="1" cm="1">
        <f t="array" ref="AD30">Comm_CB(AD11,AD26,AD27,AD12,AD13,AD10/AD18)</f>
        <v>2</v>
      </c>
      <c r="AE30" s="1" cm="1">
        <f t="array" ref="AE30">Comm_CB(AE11,AE26,AE27,AE12,AE13,AE10/AE18)</f>
        <v>2</v>
      </c>
      <c r="AF30" s="1" cm="1">
        <f t="array" ref="AF30">Comm_CB(AF11,AF26,AF27,AF12,AF13,AF10/AF18)</f>
        <v>2</v>
      </c>
      <c r="AG30" s="1" cm="1">
        <f t="array" ref="AG30">Comm_CB(AG11,AG26,AG27,AG12,AG13,AG10/AG18)</f>
        <v>2</v>
      </c>
      <c r="AH30" s="28" cm="1">
        <f t="array" ref="AH30">Comm_CB(AH11,AH26,AH27,AH12,AH13,AH10/AH18)</f>
        <v>1</v>
      </c>
      <c r="AI30" s="1" cm="1">
        <f t="array" ref="AI30">Comm_CB(AI11,AI26,AI27,AI12,AI13,AI10/AI18)</f>
        <v>1</v>
      </c>
      <c r="AJ30" s="1" cm="1">
        <f t="array" ref="AJ30">Comm_CB(AJ11,AJ26,AJ27,AJ12,AJ13,AJ10/AJ18)</f>
        <v>1</v>
      </c>
      <c r="AK30" s="1" cm="1">
        <f t="array" ref="AK30">Comm_CB(AK11,AK26,AK27,AK12,AK13,AK10/AK18)</f>
        <v>1</v>
      </c>
      <c r="AL30" s="1" cm="1">
        <f t="array" ref="AL30">Comm_CB(AL11,AL26,AL27,AL12,AL13,AL10/AL18)</f>
        <v>1</v>
      </c>
      <c r="AM30" s="1" cm="1">
        <f t="array" ref="AM30">Comm_CB(AM11,AM26,AM27,AM12,AM13,AM10/AM18)</f>
        <v>1</v>
      </c>
    </row>
    <row r="31" spans="2:39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0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0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31" cm="1">
        <f t="array" ref="S31">Comm_Parity_Nodes(S11,S26,S27,S12,S13,S10/S18)</f>
        <v>4</v>
      </c>
      <c r="T31" s="31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0" cm="1">
        <f t="array" ref="V31">Comm_Parity_Nodes(V11,V26,V27,V12,V13,V10/V18)</f>
        <v>4</v>
      </c>
      <c r="W31" s="31" cm="1">
        <f t="array" ref="W31">Comm_Parity_Nodes(W11,W26,W27,W12,W13,W10/W18)</f>
        <v>4</v>
      </c>
      <c r="X31" s="31" cm="1">
        <f t="array" ref="X31">Comm_Parity_Nodes(X11,X26,X27,X12,X13,X10/X18)</f>
        <v>4</v>
      </c>
      <c r="Y31" s="31" cm="1">
        <f t="array" ref="Y31">Comm_Parity_Nodes(Y11,Y26,Y27,Y12,Y13,Y10/Y18)</f>
        <v>4</v>
      </c>
      <c r="Z31" s="31" cm="1">
        <f t="array" ref="Z31">Comm_Parity_Nodes(Z11,Z26,Z27,Z12,Z13,Z10/Z18)</f>
        <v>4</v>
      </c>
      <c r="AA31" s="31" cm="1">
        <f t="array" ref="AA31">Comm_Parity_Nodes(AA11,AA26,AA27,AA12,AA13,AA10/AA18)</f>
        <v>4</v>
      </c>
      <c r="AB31" s="30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31" cm="1">
        <f t="array" ref="AE31">Comm_Parity_Nodes(AE11,AE26,AE27,AE12,AE13,AE10/AE18)</f>
        <v>4</v>
      </c>
      <c r="AF31" s="31" cm="1">
        <f t="array" ref="AF31">Comm_Parity_Nodes(AF11,AF26,AF27,AF12,AF13,AF10/AF18)</f>
        <v>4</v>
      </c>
      <c r="AG31" s="31" cm="1">
        <f t="array" ref="AG31">Comm_Parity_Nodes(AG11,AG26,AG27,AG12,AG13,AG10/AG18)</f>
        <v>4</v>
      </c>
      <c r="AH31" s="30" cm="1">
        <f t="array" ref="AH31">Comm_Parity_Nodes(AH11,AH26,AH27,AH12,AH13,AH10/AH18)</f>
        <v>4</v>
      </c>
      <c r="AI31" s="31" cm="1">
        <f t="array" ref="AI31">Comm_Parity_Nodes(AI11,AI26,AI27,AI12,AI13,AI10/AI18)</f>
        <v>4</v>
      </c>
      <c r="AJ31" s="31" cm="1">
        <f t="array" ref="AJ31">Comm_Parity_Nodes(AJ11,AJ26,AJ27,AJ12,AJ13,AJ10/AJ18)</f>
        <v>4</v>
      </c>
      <c r="AK31" s="31" cm="1">
        <f t="array" ref="AK31">Comm_Parity_Nodes(AK11,AK26,AK27,AK12,AK13,AK10/AK18)</f>
        <v>4</v>
      </c>
      <c r="AL31" s="31" cm="1">
        <f t="array" ref="AL31">Comm_Parity_Nodes(AL11,AL26,AL27,AL12,AL13,AL10/AL18)</f>
        <v>4</v>
      </c>
      <c r="AM31" s="31" cm="1">
        <f t="array" ref="AM31">Comm_Parity_Nodes(AM11,AM26,AM27,AM12,AM13,AM10/AM18)</f>
        <v>4</v>
      </c>
    </row>
    <row r="32" spans="2:39" x14ac:dyDescent="0.35">
      <c r="B32" s="6" t="s">
        <v>35</v>
      </c>
      <c r="D32" s="29"/>
      <c r="E32" s="17"/>
      <c r="F32" s="17"/>
      <c r="G32" s="17"/>
      <c r="H32" s="17"/>
      <c r="I32" s="17"/>
      <c r="J32" s="29"/>
      <c r="K32" s="17"/>
      <c r="L32" s="17"/>
      <c r="M32" s="17"/>
      <c r="N32" s="17"/>
      <c r="O32" s="17"/>
      <c r="P32" s="29"/>
      <c r="Q32" s="17"/>
      <c r="R32" s="17"/>
      <c r="S32" s="17"/>
      <c r="T32" s="17"/>
      <c r="U32" s="17"/>
      <c r="V32" s="29"/>
      <c r="W32" s="17"/>
      <c r="X32" s="17"/>
      <c r="Y32" s="17"/>
      <c r="Z32" s="17"/>
      <c r="AA32" s="17"/>
      <c r="AB32" s="29"/>
      <c r="AC32" s="17"/>
      <c r="AD32" s="17"/>
      <c r="AE32" s="17"/>
      <c r="AF32" s="17"/>
      <c r="AG32" s="17"/>
      <c r="AH32" s="29"/>
      <c r="AI32" s="17"/>
      <c r="AJ32" s="17"/>
      <c r="AK32" s="17"/>
      <c r="AL32" s="17"/>
      <c r="AM32" s="17"/>
    </row>
    <row r="33" spans="2:39" x14ac:dyDescent="0.35">
      <c r="B33" s="9" t="s">
        <v>36</v>
      </c>
      <c r="D33" s="26"/>
      <c r="J33" s="26"/>
      <c r="P33" s="26"/>
      <c r="V33" s="26"/>
      <c r="AB33" s="26"/>
      <c r="AH33" s="26"/>
    </row>
    <row r="34" spans="2:39" ht="15" thickBot="1" x14ac:dyDescent="0.4">
      <c r="B34" s="9" t="s">
        <v>56</v>
      </c>
      <c r="D34" s="38">
        <f>SUMPRODUCT(D18:I18, D29:I29) * 4  / 5 / 0.5/1000/1000</f>
        <v>0.31464959999999997</v>
      </c>
      <c r="E34" s="32"/>
      <c r="F34" s="32"/>
      <c r="G34" s="32"/>
      <c r="H34" s="32"/>
      <c r="I34" s="32"/>
      <c r="J34" s="38">
        <f>SUMPRODUCT(J18:O18, J29:O29) * 4  / 5 / 0.5/1000/1000</f>
        <v>0.1499904</v>
      </c>
      <c r="K34" s="32"/>
      <c r="L34" s="32"/>
      <c r="M34" s="32"/>
      <c r="N34" s="32"/>
      <c r="O34" s="32"/>
      <c r="P34" s="38">
        <f>SUMPRODUCT(P18:U18, P29:U29) * 4  / 5 / 0.5/1000/1000</f>
        <v>0.24583679999999999</v>
      </c>
      <c r="Q34" s="32"/>
      <c r="R34" s="32"/>
      <c r="S34" s="32"/>
      <c r="T34" s="32"/>
      <c r="U34" s="32"/>
      <c r="V34" s="38">
        <f>SUMPRODUCT(V18:AA18, V29:AA29) * 4  / 5 / 0.5/1000/1000</f>
        <v>0.11312639999999999</v>
      </c>
      <c r="W34" s="32"/>
      <c r="X34" s="32"/>
      <c r="Y34" s="32"/>
      <c r="Z34" s="32"/>
      <c r="AA34" s="32"/>
      <c r="AB34" s="38">
        <f>SUMPRODUCT(AB18:AG18, AB29:AG29) * 4  / 5 / 0.5/1000/1000</f>
        <v>0.1499904</v>
      </c>
      <c r="AC34" s="32"/>
      <c r="AD34" s="32"/>
      <c r="AE34" s="32"/>
      <c r="AF34" s="32"/>
      <c r="AG34" s="32"/>
      <c r="AH34" s="38">
        <f>SUMPRODUCT(AH18:AM18, AH29:AM29) * 4  / 5 / 0.5/1000/1000</f>
        <v>7.4956800000000004E-2</v>
      </c>
      <c r="AI34" s="32"/>
      <c r="AJ34" s="32"/>
      <c r="AK34" s="32"/>
      <c r="AL34" s="32"/>
      <c r="AM34" s="32"/>
    </row>
    <row r="36" spans="2:39" x14ac:dyDescent="0.35">
      <c r="D36" s="1"/>
      <c r="E36" s="1"/>
      <c r="F36" s="1"/>
      <c r="G36" s="1"/>
      <c r="H36" s="1"/>
      <c r="I36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14082-D2A0-4447-80A3-DD7FDC0CBC31}">
  <dimension ref="B1:BQ35"/>
  <sheetViews>
    <sheetView workbookViewId="0">
      <selection activeCell="BN11" sqref="BN11:BQ11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  <col min="4" max="4" width="12.08984375" customWidth="1"/>
  </cols>
  <sheetData>
    <row r="1" spans="2:69" ht="15" thickBot="1" x14ac:dyDescent="0.4"/>
    <row r="2" spans="2:69" x14ac:dyDescent="0.35">
      <c r="B2" s="2" t="s">
        <v>0</v>
      </c>
      <c r="C2" s="1"/>
      <c r="D2" s="21" t="s">
        <v>91</v>
      </c>
      <c r="E2" s="22"/>
      <c r="F2" s="22"/>
      <c r="G2" s="22"/>
      <c r="H2" s="22"/>
      <c r="I2" s="22"/>
      <c r="J2" s="21" t="s">
        <v>92</v>
      </c>
      <c r="K2" s="22"/>
      <c r="L2" s="22"/>
      <c r="M2" s="22"/>
      <c r="N2" s="22"/>
      <c r="O2" s="22"/>
      <c r="P2" s="21" t="s">
        <v>93</v>
      </c>
      <c r="Q2" s="22"/>
      <c r="R2" s="22"/>
      <c r="S2" s="22"/>
      <c r="T2" s="22"/>
      <c r="U2" s="21" t="s">
        <v>94</v>
      </c>
      <c r="V2" s="22"/>
      <c r="W2" s="22"/>
      <c r="X2" s="22"/>
      <c r="Y2" s="22"/>
      <c r="Z2" s="21" t="s">
        <v>97</v>
      </c>
      <c r="AA2" s="22"/>
      <c r="AB2" s="22"/>
      <c r="AC2" s="22"/>
      <c r="AD2" s="22"/>
      <c r="AE2" s="22"/>
      <c r="AF2" s="21" t="s">
        <v>100</v>
      </c>
      <c r="AG2" s="22"/>
      <c r="AH2" s="22"/>
      <c r="AI2" s="22"/>
      <c r="AJ2" s="22"/>
      <c r="AK2" s="22"/>
      <c r="AL2" s="21" t="s">
        <v>101</v>
      </c>
      <c r="AM2" s="22"/>
      <c r="AN2" s="22"/>
      <c r="AO2" s="22"/>
      <c r="AP2" s="22"/>
      <c r="AQ2" s="21" t="s">
        <v>102</v>
      </c>
      <c r="AR2" s="22"/>
      <c r="AS2" s="22"/>
      <c r="AT2" s="22"/>
      <c r="AU2" s="22"/>
      <c r="AV2" s="21" t="s">
        <v>122</v>
      </c>
      <c r="AW2" s="22"/>
      <c r="AX2" s="22"/>
      <c r="AY2" s="22"/>
      <c r="AZ2" s="22"/>
      <c r="BA2" s="22"/>
      <c r="BB2" s="21" t="s">
        <v>123</v>
      </c>
      <c r="BC2" s="22"/>
      <c r="BD2" s="22"/>
      <c r="BE2" s="22"/>
      <c r="BF2" s="22"/>
      <c r="BG2" s="22"/>
      <c r="BH2" s="21" t="s">
        <v>124</v>
      </c>
      <c r="BI2" s="22"/>
      <c r="BJ2" s="22"/>
      <c r="BK2" s="22"/>
      <c r="BL2" s="22"/>
      <c r="BM2" s="21" t="s">
        <v>125</v>
      </c>
      <c r="BN2" s="22"/>
      <c r="BO2" s="22"/>
      <c r="BP2" s="22"/>
      <c r="BQ2" s="22"/>
    </row>
    <row r="3" spans="2:69" x14ac:dyDescent="0.35">
      <c r="B3" s="3" t="s">
        <v>3</v>
      </c>
      <c r="C3" s="1"/>
      <c r="D3" s="26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 s="26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 s="26">
        <v>100</v>
      </c>
      <c r="Q3">
        <v>100</v>
      </c>
      <c r="R3">
        <v>100</v>
      </c>
      <c r="S3">
        <v>100</v>
      </c>
      <c r="T3">
        <v>100</v>
      </c>
      <c r="U3" s="26">
        <v>100</v>
      </c>
      <c r="V3">
        <v>100</v>
      </c>
      <c r="W3">
        <v>100</v>
      </c>
      <c r="X3">
        <v>100</v>
      </c>
      <c r="Y3">
        <v>100</v>
      </c>
      <c r="Z3" s="26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 s="26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 s="26">
        <v>100</v>
      </c>
      <c r="AM3">
        <v>100</v>
      </c>
      <c r="AN3">
        <v>100</v>
      </c>
      <c r="AO3">
        <v>100</v>
      </c>
      <c r="AP3">
        <v>100</v>
      </c>
      <c r="AQ3" s="26">
        <v>100</v>
      </c>
      <c r="AR3">
        <v>100</v>
      </c>
      <c r="AS3">
        <v>100</v>
      </c>
      <c r="AT3">
        <v>100</v>
      </c>
      <c r="AU3">
        <v>100</v>
      </c>
      <c r="AV3" s="26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 s="26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 s="26">
        <v>100</v>
      </c>
      <c r="BI3">
        <v>100</v>
      </c>
      <c r="BJ3">
        <v>100</v>
      </c>
      <c r="BK3">
        <v>100</v>
      </c>
      <c r="BL3">
        <v>100</v>
      </c>
      <c r="BM3" s="26">
        <v>100</v>
      </c>
      <c r="BN3">
        <v>100</v>
      </c>
      <c r="BO3">
        <v>100</v>
      </c>
      <c r="BP3">
        <v>100</v>
      </c>
      <c r="BQ3">
        <v>100</v>
      </c>
    </row>
    <row r="4" spans="2:69" x14ac:dyDescent="0.35">
      <c r="B4" s="3" t="s">
        <v>4</v>
      </c>
      <c r="C4" s="1"/>
      <c r="D4" s="26">
        <v>106</v>
      </c>
      <c r="E4">
        <v>106</v>
      </c>
      <c r="F4">
        <v>106</v>
      </c>
      <c r="G4">
        <v>106</v>
      </c>
      <c r="H4">
        <v>106</v>
      </c>
      <c r="I4">
        <v>106</v>
      </c>
      <c r="J4" s="26">
        <v>106</v>
      </c>
      <c r="K4">
        <v>106</v>
      </c>
      <c r="L4">
        <v>106</v>
      </c>
      <c r="M4">
        <v>106</v>
      </c>
      <c r="N4">
        <v>106</v>
      </c>
      <c r="O4">
        <v>106</v>
      </c>
      <c r="P4" s="26">
        <v>106</v>
      </c>
      <c r="Q4">
        <v>106</v>
      </c>
      <c r="R4">
        <v>106</v>
      </c>
      <c r="S4">
        <v>106</v>
      </c>
      <c r="T4">
        <v>106</v>
      </c>
      <c r="U4" s="26">
        <v>106</v>
      </c>
      <c r="V4">
        <v>106</v>
      </c>
      <c r="W4">
        <v>106</v>
      </c>
      <c r="X4">
        <v>106</v>
      </c>
      <c r="Y4">
        <v>106</v>
      </c>
      <c r="Z4" s="26">
        <v>106</v>
      </c>
      <c r="AA4">
        <v>106</v>
      </c>
      <c r="AB4">
        <v>106</v>
      </c>
      <c r="AC4">
        <v>106</v>
      </c>
      <c r="AD4">
        <v>106</v>
      </c>
      <c r="AE4">
        <v>106</v>
      </c>
      <c r="AF4" s="26">
        <v>106</v>
      </c>
      <c r="AG4">
        <v>106</v>
      </c>
      <c r="AH4">
        <v>106</v>
      </c>
      <c r="AI4">
        <v>106</v>
      </c>
      <c r="AJ4">
        <v>106</v>
      </c>
      <c r="AK4">
        <v>106</v>
      </c>
      <c r="AL4" s="26">
        <v>106</v>
      </c>
      <c r="AM4">
        <v>106</v>
      </c>
      <c r="AN4">
        <v>106</v>
      </c>
      <c r="AO4">
        <v>106</v>
      </c>
      <c r="AP4">
        <v>106</v>
      </c>
      <c r="AQ4" s="26">
        <v>106</v>
      </c>
      <c r="AR4">
        <v>106</v>
      </c>
      <c r="AS4">
        <v>106</v>
      </c>
      <c r="AT4">
        <v>106</v>
      </c>
      <c r="AU4">
        <v>106</v>
      </c>
      <c r="AV4" s="26">
        <v>106</v>
      </c>
      <c r="AW4">
        <v>106</v>
      </c>
      <c r="AX4">
        <v>106</v>
      </c>
      <c r="AY4">
        <v>106</v>
      </c>
      <c r="AZ4">
        <v>106</v>
      </c>
      <c r="BA4">
        <v>106</v>
      </c>
      <c r="BB4" s="26">
        <v>106</v>
      </c>
      <c r="BC4">
        <v>106</v>
      </c>
      <c r="BD4">
        <v>106</v>
      </c>
      <c r="BE4">
        <v>106</v>
      </c>
      <c r="BF4">
        <v>106</v>
      </c>
      <c r="BG4">
        <v>106</v>
      </c>
      <c r="BH4" s="26">
        <v>106</v>
      </c>
      <c r="BI4">
        <v>106</v>
      </c>
      <c r="BJ4">
        <v>106</v>
      </c>
      <c r="BK4">
        <v>106</v>
      </c>
      <c r="BL4">
        <v>106</v>
      </c>
      <c r="BM4" s="26">
        <v>106</v>
      </c>
      <c r="BN4">
        <v>106</v>
      </c>
      <c r="BO4">
        <v>106</v>
      </c>
      <c r="BP4">
        <v>106</v>
      </c>
      <c r="BQ4">
        <v>106</v>
      </c>
    </row>
    <row r="5" spans="2:69" x14ac:dyDescent="0.35">
      <c r="B5" s="3" t="s">
        <v>5</v>
      </c>
      <c r="D5" s="26">
        <v>106</v>
      </c>
      <c r="E5">
        <v>106</v>
      </c>
      <c r="F5">
        <v>106</v>
      </c>
      <c r="G5">
        <v>106</v>
      </c>
      <c r="H5">
        <v>106</v>
      </c>
      <c r="I5">
        <v>106</v>
      </c>
      <c r="J5" s="26">
        <v>106</v>
      </c>
      <c r="K5">
        <v>106</v>
      </c>
      <c r="L5">
        <v>106</v>
      </c>
      <c r="M5">
        <v>106</v>
      </c>
      <c r="N5">
        <v>106</v>
      </c>
      <c r="O5">
        <v>106</v>
      </c>
      <c r="P5" s="26">
        <v>106</v>
      </c>
      <c r="Q5">
        <v>106</v>
      </c>
      <c r="R5">
        <v>106</v>
      </c>
      <c r="S5">
        <v>106</v>
      </c>
      <c r="T5">
        <v>106</v>
      </c>
      <c r="U5" s="26">
        <v>106</v>
      </c>
      <c r="V5">
        <v>106</v>
      </c>
      <c r="W5">
        <v>106</v>
      </c>
      <c r="X5">
        <v>106</v>
      </c>
      <c r="Y5">
        <v>106</v>
      </c>
      <c r="Z5" s="26">
        <v>106</v>
      </c>
      <c r="AA5">
        <v>106</v>
      </c>
      <c r="AB5">
        <v>106</v>
      </c>
      <c r="AC5">
        <v>106</v>
      </c>
      <c r="AD5">
        <v>106</v>
      </c>
      <c r="AE5">
        <v>106</v>
      </c>
      <c r="AF5" s="26">
        <v>106</v>
      </c>
      <c r="AG5">
        <v>106</v>
      </c>
      <c r="AH5">
        <v>106</v>
      </c>
      <c r="AI5">
        <v>106</v>
      </c>
      <c r="AJ5">
        <v>106</v>
      </c>
      <c r="AK5">
        <v>106</v>
      </c>
      <c r="AL5" s="26">
        <v>106</v>
      </c>
      <c r="AM5">
        <v>106</v>
      </c>
      <c r="AN5">
        <v>106</v>
      </c>
      <c r="AO5">
        <v>106</v>
      </c>
      <c r="AP5">
        <v>106</v>
      </c>
      <c r="AQ5" s="26">
        <v>106</v>
      </c>
      <c r="AR5">
        <v>106</v>
      </c>
      <c r="AS5">
        <v>106</v>
      </c>
      <c r="AT5">
        <v>106</v>
      </c>
      <c r="AU5">
        <v>106</v>
      </c>
      <c r="AV5" s="26">
        <v>106</v>
      </c>
      <c r="AW5">
        <v>106</v>
      </c>
      <c r="AX5">
        <v>106</v>
      </c>
      <c r="AY5">
        <v>106</v>
      </c>
      <c r="AZ5">
        <v>106</v>
      </c>
      <c r="BA5">
        <v>106</v>
      </c>
      <c r="BB5" s="26">
        <v>106</v>
      </c>
      <c r="BC5">
        <v>106</v>
      </c>
      <c r="BD5">
        <v>106</v>
      </c>
      <c r="BE5">
        <v>106</v>
      </c>
      <c r="BF5">
        <v>106</v>
      </c>
      <c r="BG5">
        <v>106</v>
      </c>
      <c r="BH5" s="26">
        <v>106</v>
      </c>
      <c r="BI5">
        <v>106</v>
      </c>
      <c r="BJ5">
        <v>106</v>
      </c>
      <c r="BK5">
        <v>106</v>
      </c>
      <c r="BL5">
        <v>106</v>
      </c>
      <c r="BM5" s="26">
        <v>106</v>
      </c>
      <c r="BN5">
        <v>106</v>
      </c>
      <c r="BO5">
        <v>106</v>
      </c>
      <c r="BP5">
        <v>106</v>
      </c>
      <c r="BQ5">
        <v>106</v>
      </c>
    </row>
    <row r="6" spans="2:69" x14ac:dyDescent="0.35">
      <c r="B6" s="3" t="s">
        <v>6</v>
      </c>
      <c r="C6" s="1"/>
      <c r="D6" s="28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28">
        <v>1</v>
      </c>
      <c r="K6" s="1">
        <v>2</v>
      </c>
      <c r="L6" s="1">
        <v>3</v>
      </c>
      <c r="M6" s="1">
        <v>4</v>
      </c>
      <c r="N6" s="1">
        <v>5</v>
      </c>
      <c r="O6" s="1">
        <v>6</v>
      </c>
      <c r="P6" s="28">
        <v>1</v>
      </c>
      <c r="Q6" s="1">
        <v>2</v>
      </c>
      <c r="R6" s="1">
        <v>3</v>
      </c>
      <c r="S6" s="1">
        <v>4</v>
      </c>
      <c r="T6" s="1">
        <v>5</v>
      </c>
      <c r="U6" s="28">
        <v>1</v>
      </c>
      <c r="V6" s="1">
        <v>2</v>
      </c>
      <c r="W6" s="1">
        <v>3</v>
      </c>
      <c r="X6" s="1">
        <v>4</v>
      </c>
      <c r="Y6" s="1">
        <v>5</v>
      </c>
      <c r="Z6" s="28">
        <v>1</v>
      </c>
      <c r="AA6" s="1">
        <v>2</v>
      </c>
      <c r="AB6" s="1">
        <v>3</v>
      </c>
      <c r="AC6" s="1">
        <v>4</v>
      </c>
      <c r="AD6" s="1">
        <v>5</v>
      </c>
      <c r="AE6" s="1">
        <v>6</v>
      </c>
      <c r="AF6" s="28">
        <v>1</v>
      </c>
      <c r="AG6" s="1">
        <v>2</v>
      </c>
      <c r="AH6" s="1">
        <v>3</v>
      </c>
      <c r="AI6" s="1">
        <v>4</v>
      </c>
      <c r="AJ6" s="1">
        <v>5</v>
      </c>
      <c r="AK6" s="1">
        <v>6</v>
      </c>
      <c r="AL6" s="28">
        <v>1</v>
      </c>
      <c r="AM6" s="1">
        <v>2</v>
      </c>
      <c r="AN6" s="1">
        <v>3</v>
      </c>
      <c r="AO6" s="1">
        <v>4</v>
      </c>
      <c r="AP6" s="1">
        <v>5</v>
      </c>
      <c r="AQ6" s="28">
        <v>1</v>
      </c>
      <c r="AR6" s="1">
        <v>2</v>
      </c>
      <c r="AS6" s="1">
        <v>3</v>
      </c>
      <c r="AT6" s="1">
        <v>4</v>
      </c>
      <c r="AU6" s="1">
        <v>5</v>
      </c>
      <c r="AV6" s="28">
        <v>1</v>
      </c>
      <c r="AW6" s="1">
        <v>2</v>
      </c>
      <c r="AX6" s="1">
        <v>3</v>
      </c>
      <c r="AY6" s="1">
        <v>4</v>
      </c>
      <c r="AZ6" s="1">
        <v>5</v>
      </c>
      <c r="BA6" s="1">
        <v>6</v>
      </c>
      <c r="BB6" s="28">
        <v>1</v>
      </c>
      <c r="BC6" s="1">
        <v>2</v>
      </c>
      <c r="BD6" s="1">
        <v>3</v>
      </c>
      <c r="BE6" s="1">
        <v>4</v>
      </c>
      <c r="BF6" s="1">
        <v>5</v>
      </c>
      <c r="BG6" s="1">
        <v>6</v>
      </c>
      <c r="BH6" s="28">
        <v>1</v>
      </c>
      <c r="BI6" s="1">
        <v>2</v>
      </c>
      <c r="BJ6" s="1">
        <v>3</v>
      </c>
      <c r="BK6" s="1">
        <v>4</v>
      </c>
      <c r="BL6" s="1">
        <v>5</v>
      </c>
      <c r="BM6" s="28">
        <v>1</v>
      </c>
      <c r="BN6" s="1">
        <v>2</v>
      </c>
      <c r="BO6" s="1">
        <v>3</v>
      </c>
      <c r="BP6" s="1">
        <v>4</v>
      </c>
      <c r="BQ6" s="1">
        <v>5</v>
      </c>
    </row>
    <row r="7" spans="2:69" x14ac:dyDescent="0.35">
      <c r="B7" s="3" t="s">
        <v>7</v>
      </c>
      <c r="C7" s="1"/>
      <c r="D7" s="27">
        <f>D11/D5</f>
        <v>0.16037735849056603</v>
      </c>
      <c r="E7" s="14">
        <f t="shared" ref="E7:I7" si="0">E11/E5</f>
        <v>0.16037735849056603</v>
      </c>
      <c r="F7" s="14">
        <f t="shared" si="0"/>
        <v>0.16037735849056603</v>
      </c>
      <c r="G7" s="14">
        <f t="shared" si="0"/>
        <v>0.16037735849056603</v>
      </c>
      <c r="H7" s="14">
        <f t="shared" si="0"/>
        <v>0.16037735849056603</v>
      </c>
      <c r="I7" s="14">
        <f t="shared" si="0"/>
        <v>0.16037735849056603</v>
      </c>
      <c r="J7" s="27">
        <f>J11/J5</f>
        <v>7.5471698113207544E-2</v>
      </c>
      <c r="K7" s="14">
        <f t="shared" ref="K7:O7" si="1">K11/K5</f>
        <v>7.5471698113207544E-2</v>
      </c>
      <c r="L7" s="14">
        <f t="shared" si="1"/>
        <v>7.5471698113207544E-2</v>
      </c>
      <c r="M7" s="14">
        <f t="shared" si="1"/>
        <v>7.5471698113207544E-2</v>
      </c>
      <c r="N7" s="14">
        <f t="shared" si="1"/>
        <v>7.5471698113207544E-2</v>
      </c>
      <c r="O7" s="14">
        <f t="shared" si="1"/>
        <v>7.5471698113207544E-2</v>
      </c>
      <c r="P7" s="27">
        <f>P11/P5</f>
        <v>0.19811320754716982</v>
      </c>
      <c r="Q7" s="14">
        <f t="shared" ref="Q7:T7" si="2">Q11/Q5</f>
        <v>0.19811320754716982</v>
      </c>
      <c r="R7" s="14">
        <f t="shared" si="2"/>
        <v>0.19811320754716982</v>
      </c>
      <c r="S7" s="14">
        <f t="shared" si="2"/>
        <v>0.19811320754716982</v>
      </c>
      <c r="T7" s="14">
        <f t="shared" si="2"/>
        <v>0.19811320754716982</v>
      </c>
      <c r="U7" s="27">
        <f>U11/U5</f>
        <v>9.4339622641509441E-2</v>
      </c>
      <c r="V7" s="14">
        <f t="shared" ref="V7:Y7" si="3">V11/V5</f>
        <v>9.4339622641509441E-2</v>
      </c>
      <c r="W7" s="14">
        <f t="shared" si="3"/>
        <v>9.4339622641509441E-2</v>
      </c>
      <c r="X7" s="14">
        <f t="shared" si="3"/>
        <v>9.4339622641509441E-2</v>
      </c>
      <c r="Y7" s="14">
        <f t="shared" si="3"/>
        <v>9.4339622641509441E-2</v>
      </c>
      <c r="Z7" s="27">
        <f>Z11/Z5</f>
        <v>0.12264150943396226</v>
      </c>
      <c r="AA7" s="14">
        <f t="shared" ref="AA7:AE7" si="4">AA11/AA5</f>
        <v>0.12264150943396226</v>
      </c>
      <c r="AB7" s="14">
        <f t="shared" si="4"/>
        <v>0.12264150943396226</v>
      </c>
      <c r="AC7" s="14">
        <f t="shared" si="4"/>
        <v>0.12264150943396226</v>
      </c>
      <c r="AD7" s="14">
        <f t="shared" si="4"/>
        <v>0.12264150943396226</v>
      </c>
      <c r="AE7" s="14">
        <f t="shared" si="4"/>
        <v>0.12264150943396226</v>
      </c>
      <c r="AF7" s="27">
        <f>AF11/AF5</f>
        <v>5.6603773584905662E-2</v>
      </c>
      <c r="AG7" s="14">
        <f t="shared" ref="AG7:AK7" si="5">AG11/AG5</f>
        <v>5.6603773584905662E-2</v>
      </c>
      <c r="AH7" s="14">
        <f t="shared" si="5"/>
        <v>5.6603773584905662E-2</v>
      </c>
      <c r="AI7" s="14">
        <f t="shared" si="5"/>
        <v>5.6603773584905662E-2</v>
      </c>
      <c r="AJ7" s="14">
        <f t="shared" si="5"/>
        <v>5.6603773584905662E-2</v>
      </c>
      <c r="AK7" s="14">
        <f t="shared" si="5"/>
        <v>5.6603773584905662E-2</v>
      </c>
      <c r="AL7" s="27">
        <f>AL11/AL5</f>
        <v>0.14150943396226415</v>
      </c>
      <c r="AM7" s="14">
        <f t="shared" ref="AM7:AP7" si="6">AM11/AM5</f>
        <v>0.14150943396226415</v>
      </c>
      <c r="AN7" s="14">
        <f t="shared" si="6"/>
        <v>0.14150943396226415</v>
      </c>
      <c r="AO7" s="14">
        <f t="shared" si="6"/>
        <v>0.14150943396226415</v>
      </c>
      <c r="AP7" s="14">
        <f t="shared" si="6"/>
        <v>0.14150943396226415</v>
      </c>
      <c r="AQ7" s="27">
        <f>AQ11/AQ5</f>
        <v>6.6037735849056603E-2</v>
      </c>
      <c r="AR7" s="14">
        <f t="shared" ref="AR7:AU7" si="7">AR11/AR5</f>
        <v>6.6037735849056603E-2</v>
      </c>
      <c r="AS7" s="14">
        <f t="shared" si="7"/>
        <v>6.6037735849056603E-2</v>
      </c>
      <c r="AT7" s="14">
        <f t="shared" si="7"/>
        <v>6.6037735849056603E-2</v>
      </c>
      <c r="AU7" s="14">
        <f t="shared" si="7"/>
        <v>6.6037735849056603E-2</v>
      </c>
      <c r="AV7" s="27">
        <f>AV11/AV5</f>
        <v>7.5471698113207544E-2</v>
      </c>
      <c r="AW7" s="14">
        <f t="shared" ref="AW7:BA7" si="8">AW11/AW5</f>
        <v>7.5471698113207544E-2</v>
      </c>
      <c r="AX7" s="14">
        <f t="shared" si="8"/>
        <v>7.5471698113207544E-2</v>
      </c>
      <c r="AY7" s="14">
        <f t="shared" si="8"/>
        <v>7.5471698113207544E-2</v>
      </c>
      <c r="AZ7" s="14">
        <f t="shared" si="8"/>
        <v>7.5471698113207544E-2</v>
      </c>
      <c r="BA7" s="14">
        <f t="shared" si="8"/>
        <v>7.5471698113207544E-2</v>
      </c>
      <c r="BB7" s="27">
        <f>BB11/BB5</f>
        <v>3.7735849056603772E-2</v>
      </c>
      <c r="BC7" s="14">
        <f t="shared" ref="BC7:BG7" si="9">BC11/BC5</f>
        <v>3.7735849056603772E-2</v>
      </c>
      <c r="BD7" s="14">
        <f t="shared" si="9"/>
        <v>3.7735849056603772E-2</v>
      </c>
      <c r="BE7" s="14">
        <f t="shared" si="9"/>
        <v>3.7735849056603772E-2</v>
      </c>
      <c r="BF7" s="14">
        <f t="shared" si="9"/>
        <v>3.7735849056603772E-2</v>
      </c>
      <c r="BG7" s="14">
        <f t="shared" si="9"/>
        <v>3.7735849056603772E-2</v>
      </c>
      <c r="BH7" s="27">
        <f>BH11/BH5</f>
        <v>9.4339622641509441E-2</v>
      </c>
      <c r="BI7" s="14">
        <f t="shared" ref="BI7:BL7" si="10">BI11/BI5</f>
        <v>9.4339622641509441E-2</v>
      </c>
      <c r="BJ7" s="14">
        <f t="shared" si="10"/>
        <v>9.4339622641509441E-2</v>
      </c>
      <c r="BK7" s="14">
        <f t="shared" si="10"/>
        <v>9.4339622641509441E-2</v>
      </c>
      <c r="BL7" s="14">
        <f t="shared" si="10"/>
        <v>9.4339622641509441E-2</v>
      </c>
      <c r="BM7" s="27">
        <f>BM11/BM5</f>
        <v>4.716981132075472E-2</v>
      </c>
      <c r="BN7" s="14">
        <f t="shared" ref="BN7:BQ7" si="11">BN11/BN5</f>
        <v>4.716981132075472E-2</v>
      </c>
      <c r="BO7" s="14">
        <f t="shared" si="11"/>
        <v>4.716981132075472E-2</v>
      </c>
      <c r="BP7" s="14">
        <f t="shared" si="11"/>
        <v>4.716981132075472E-2</v>
      </c>
      <c r="BQ7" s="14">
        <f t="shared" si="11"/>
        <v>4.716981132075472E-2</v>
      </c>
    </row>
    <row r="8" spans="2:69" x14ac:dyDescent="0.35">
      <c r="B8" s="4" t="s">
        <v>8</v>
      </c>
      <c r="C8" s="1"/>
      <c r="D8" s="26">
        <v>1</v>
      </c>
      <c r="E8">
        <v>1</v>
      </c>
      <c r="F8">
        <v>1</v>
      </c>
      <c r="G8">
        <v>1</v>
      </c>
      <c r="H8">
        <v>1</v>
      </c>
      <c r="I8">
        <v>1</v>
      </c>
      <c r="J8" s="26">
        <v>1</v>
      </c>
      <c r="K8">
        <v>1</v>
      </c>
      <c r="L8">
        <v>1</v>
      </c>
      <c r="M8">
        <v>1</v>
      </c>
      <c r="N8">
        <v>1</v>
      </c>
      <c r="O8">
        <v>1</v>
      </c>
      <c r="P8" s="26">
        <v>1</v>
      </c>
      <c r="Q8">
        <v>1</v>
      </c>
      <c r="R8">
        <v>1</v>
      </c>
      <c r="S8">
        <v>1</v>
      </c>
      <c r="T8">
        <v>1</v>
      </c>
      <c r="U8" s="26">
        <v>1</v>
      </c>
      <c r="V8">
        <v>1</v>
      </c>
      <c r="W8">
        <v>1</v>
      </c>
      <c r="X8">
        <v>1</v>
      </c>
      <c r="Y8">
        <v>1</v>
      </c>
      <c r="Z8" s="26">
        <v>1</v>
      </c>
      <c r="AA8">
        <v>1</v>
      </c>
      <c r="AB8">
        <v>1</v>
      </c>
      <c r="AC8">
        <v>1</v>
      </c>
      <c r="AD8">
        <v>1</v>
      </c>
      <c r="AE8">
        <v>1</v>
      </c>
      <c r="AF8" s="26">
        <v>1</v>
      </c>
      <c r="AG8">
        <v>1</v>
      </c>
      <c r="AH8">
        <v>1</v>
      </c>
      <c r="AI8">
        <v>1</v>
      </c>
      <c r="AJ8">
        <v>1</v>
      </c>
      <c r="AK8">
        <v>1</v>
      </c>
      <c r="AL8" s="26">
        <v>1</v>
      </c>
      <c r="AM8">
        <v>1</v>
      </c>
      <c r="AN8">
        <v>1</v>
      </c>
      <c r="AO8">
        <v>1</v>
      </c>
      <c r="AP8">
        <v>1</v>
      </c>
      <c r="AQ8" s="26">
        <v>1</v>
      </c>
      <c r="AR8">
        <v>1</v>
      </c>
      <c r="AS8">
        <v>1</v>
      </c>
      <c r="AT8">
        <v>1</v>
      </c>
      <c r="AU8">
        <v>1</v>
      </c>
      <c r="AV8" s="26">
        <v>1</v>
      </c>
      <c r="AW8">
        <v>1</v>
      </c>
      <c r="AX8">
        <v>1</v>
      </c>
      <c r="AY8">
        <v>1</v>
      </c>
      <c r="AZ8">
        <v>1</v>
      </c>
      <c r="BA8">
        <v>1</v>
      </c>
      <c r="BB8" s="26">
        <v>1</v>
      </c>
      <c r="BC8">
        <v>1</v>
      </c>
      <c r="BD8">
        <v>1</v>
      </c>
      <c r="BE8">
        <v>1</v>
      </c>
      <c r="BF8">
        <v>1</v>
      </c>
      <c r="BG8">
        <v>1</v>
      </c>
      <c r="BH8" s="26">
        <v>1</v>
      </c>
      <c r="BI8">
        <v>1</v>
      </c>
      <c r="BJ8">
        <v>1</v>
      </c>
      <c r="BK8">
        <v>1</v>
      </c>
      <c r="BL8">
        <v>1</v>
      </c>
      <c r="BM8" s="26">
        <v>1</v>
      </c>
      <c r="BN8">
        <v>1</v>
      </c>
      <c r="BO8">
        <v>1</v>
      </c>
      <c r="BP8">
        <v>1</v>
      </c>
      <c r="BQ8">
        <v>1</v>
      </c>
    </row>
    <row r="9" spans="2:69" x14ac:dyDescent="0.35">
      <c r="B9" s="4" t="s">
        <v>9</v>
      </c>
      <c r="C9" s="1"/>
      <c r="D9" s="26">
        <v>4</v>
      </c>
      <c r="E9">
        <v>4</v>
      </c>
      <c r="F9">
        <v>4</v>
      </c>
      <c r="G9">
        <v>4</v>
      </c>
      <c r="H9">
        <v>4</v>
      </c>
      <c r="I9">
        <v>4</v>
      </c>
      <c r="J9" s="26">
        <v>4</v>
      </c>
      <c r="K9">
        <v>4</v>
      </c>
      <c r="L9">
        <v>4</v>
      </c>
      <c r="M9">
        <v>4</v>
      </c>
      <c r="N9">
        <v>4</v>
      </c>
      <c r="O9">
        <v>4</v>
      </c>
      <c r="P9" s="26">
        <v>4</v>
      </c>
      <c r="Q9">
        <v>4</v>
      </c>
      <c r="R9">
        <v>4</v>
      </c>
      <c r="S9">
        <v>4</v>
      </c>
      <c r="T9">
        <v>4</v>
      </c>
      <c r="U9" s="26">
        <v>4</v>
      </c>
      <c r="V9">
        <v>4</v>
      </c>
      <c r="W9">
        <v>4</v>
      </c>
      <c r="X9">
        <v>4</v>
      </c>
      <c r="Y9">
        <v>4</v>
      </c>
      <c r="Z9" s="26">
        <v>4</v>
      </c>
      <c r="AA9">
        <v>4</v>
      </c>
      <c r="AB9">
        <v>4</v>
      </c>
      <c r="AC9">
        <v>4</v>
      </c>
      <c r="AD9">
        <v>4</v>
      </c>
      <c r="AE9">
        <v>4</v>
      </c>
      <c r="AF9" s="26">
        <v>4</v>
      </c>
      <c r="AG9">
        <v>4</v>
      </c>
      <c r="AH9">
        <v>4</v>
      </c>
      <c r="AI9">
        <v>4</v>
      </c>
      <c r="AJ9">
        <v>4</v>
      </c>
      <c r="AK9">
        <v>4</v>
      </c>
      <c r="AL9" s="26">
        <v>4</v>
      </c>
      <c r="AM9">
        <v>4</v>
      </c>
      <c r="AN9">
        <v>4</v>
      </c>
      <c r="AO9">
        <v>4</v>
      </c>
      <c r="AP9">
        <v>4</v>
      </c>
      <c r="AQ9" s="26">
        <v>4</v>
      </c>
      <c r="AR9">
        <v>4</v>
      </c>
      <c r="AS9">
        <v>4</v>
      </c>
      <c r="AT9">
        <v>4</v>
      </c>
      <c r="AU9">
        <v>4</v>
      </c>
      <c r="AV9" s="26">
        <v>4</v>
      </c>
      <c r="AW9">
        <v>4</v>
      </c>
      <c r="AX9">
        <v>4</v>
      </c>
      <c r="AY9">
        <v>4</v>
      </c>
      <c r="AZ9">
        <v>4</v>
      </c>
      <c r="BA9">
        <v>4</v>
      </c>
      <c r="BB9" s="26">
        <v>4</v>
      </c>
      <c r="BC9">
        <v>4</v>
      </c>
      <c r="BD9">
        <v>4</v>
      </c>
      <c r="BE9">
        <v>4</v>
      </c>
      <c r="BF9">
        <v>4</v>
      </c>
      <c r="BG9">
        <v>4</v>
      </c>
      <c r="BH9" s="26">
        <v>4</v>
      </c>
      <c r="BI9">
        <v>4</v>
      </c>
      <c r="BJ9">
        <v>4</v>
      </c>
      <c r="BK9">
        <v>4</v>
      </c>
      <c r="BL9">
        <v>4</v>
      </c>
      <c r="BM9" s="26">
        <v>4</v>
      </c>
      <c r="BN9">
        <v>4</v>
      </c>
      <c r="BO9">
        <v>4</v>
      </c>
      <c r="BP9">
        <v>4</v>
      </c>
      <c r="BQ9">
        <v>4</v>
      </c>
    </row>
    <row r="10" spans="2:69" x14ac:dyDescent="0.35">
      <c r="B10" s="4" t="s">
        <v>10</v>
      </c>
      <c r="C10" s="1"/>
      <c r="D10" s="26">
        <v>1</v>
      </c>
      <c r="E10">
        <v>1</v>
      </c>
      <c r="F10">
        <v>1</v>
      </c>
      <c r="G10">
        <v>1</v>
      </c>
      <c r="H10">
        <v>1</v>
      </c>
      <c r="I10">
        <v>1</v>
      </c>
      <c r="J10" s="26">
        <v>1</v>
      </c>
      <c r="K10">
        <v>1</v>
      </c>
      <c r="L10">
        <v>1</v>
      </c>
      <c r="M10">
        <v>1</v>
      </c>
      <c r="N10">
        <v>1</v>
      </c>
      <c r="O10">
        <v>1</v>
      </c>
      <c r="P10" s="26">
        <v>1</v>
      </c>
      <c r="Q10">
        <v>1</v>
      </c>
      <c r="R10">
        <v>1</v>
      </c>
      <c r="S10">
        <v>1</v>
      </c>
      <c r="T10">
        <v>1</v>
      </c>
      <c r="U10" s="26">
        <v>1</v>
      </c>
      <c r="V10">
        <v>1</v>
      </c>
      <c r="W10">
        <v>1</v>
      </c>
      <c r="X10">
        <v>1</v>
      </c>
      <c r="Y10">
        <v>1</v>
      </c>
      <c r="Z10" s="26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 s="26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 s="26">
        <v>1</v>
      </c>
      <c r="AM10">
        <v>1</v>
      </c>
      <c r="AN10">
        <v>1</v>
      </c>
      <c r="AO10">
        <v>1</v>
      </c>
      <c r="AP10">
        <v>1</v>
      </c>
      <c r="AQ10" s="26">
        <v>1</v>
      </c>
      <c r="AR10">
        <v>1</v>
      </c>
      <c r="AS10">
        <v>1</v>
      </c>
      <c r="AT10">
        <v>1</v>
      </c>
      <c r="AU10">
        <v>1</v>
      </c>
      <c r="AV10" s="26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 s="26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 s="26">
        <v>1</v>
      </c>
      <c r="BI10">
        <v>1</v>
      </c>
      <c r="BJ10">
        <v>1</v>
      </c>
      <c r="BK10">
        <v>1</v>
      </c>
      <c r="BL10">
        <v>1</v>
      </c>
      <c r="BM10" s="26">
        <v>1</v>
      </c>
      <c r="BN10">
        <v>1</v>
      </c>
      <c r="BO10">
        <v>1</v>
      </c>
      <c r="BP10">
        <v>1</v>
      </c>
      <c r="BQ10">
        <v>1</v>
      </c>
    </row>
    <row r="11" spans="2:69" x14ac:dyDescent="0.35">
      <c r="B11" s="3" t="s">
        <v>11</v>
      </c>
      <c r="C11" s="1"/>
      <c r="D11" s="28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28">
        <v>8</v>
      </c>
      <c r="K11" s="1">
        <v>8</v>
      </c>
      <c r="L11" s="1">
        <v>8</v>
      </c>
      <c r="M11" s="1">
        <v>8</v>
      </c>
      <c r="N11" s="1">
        <v>8</v>
      </c>
      <c r="O11" s="1">
        <v>8</v>
      </c>
      <c r="P11" s="28">
        <v>21</v>
      </c>
      <c r="Q11" s="1">
        <v>21</v>
      </c>
      <c r="R11" s="1">
        <v>21</v>
      </c>
      <c r="S11" s="1">
        <v>21</v>
      </c>
      <c r="T11" s="1">
        <v>21</v>
      </c>
      <c r="U11" s="28">
        <v>10</v>
      </c>
      <c r="V11" s="1">
        <v>10</v>
      </c>
      <c r="W11" s="1">
        <v>10</v>
      </c>
      <c r="X11" s="1">
        <v>10</v>
      </c>
      <c r="Y11" s="1">
        <v>10</v>
      </c>
      <c r="Z11" s="28">
        <v>13</v>
      </c>
      <c r="AA11" s="1">
        <v>13</v>
      </c>
      <c r="AB11" s="1">
        <v>13</v>
      </c>
      <c r="AC11" s="1">
        <v>13</v>
      </c>
      <c r="AD11" s="1">
        <v>13</v>
      </c>
      <c r="AE11" s="1">
        <v>13</v>
      </c>
      <c r="AF11" s="28">
        <v>6</v>
      </c>
      <c r="AG11" s="1">
        <v>6</v>
      </c>
      <c r="AH11" s="1">
        <v>6</v>
      </c>
      <c r="AI11" s="1">
        <v>6</v>
      </c>
      <c r="AJ11" s="1">
        <v>6</v>
      </c>
      <c r="AK11" s="1">
        <v>6</v>
      </c>
      <c r="AL11" s="28">
        <v>15</v>
      </c>
      <c r="AM11" s="1">
        <v>15</v>
      </c>
      <c r="AN11" s="1">
        <v>15</v>
      </c>
      <c r="AO11" s="1">
        <v>15</v>
      </c>
      <c r="AP11" s="1">
        <v>15</v>
      </c>
      <c r="AQ11" s="28">
        <v>7</v>
      </c>
      <c r="AR11" s="1">
        <v>7</v>
      </c>
      <c r="AS11" s="1">
        <v>7</v>
      </c>
      <c r="AT11" s="1">
        <v>7</v>
      </c>
      <c r="AU11" s="1">
        <v>7</v>
      </c>
      <c r="AV11" s="28">
        <v>8</v>
      </c>
      <c r="AW11" s="1">
        <v>8</v>
      </c>
      <c r="AX11" s="1">
        <v>8</v>
      </c>
      <c r="AY11" s="1">
        <v>8</v>
      </c>
      <c r="AZ11" s="1">
        <v>8</v>
      </c>
      <c r="BA11" s="1">
        <v>8</v>
      </c>
      <c r="BB11" s="28">
        <v>4</v>
      </c>
      <c r="BC11" s="1">
        <v>4</v>
      </c>
      <c r="BD11" s="1">
        <v>4</v>
      </c>
      <c r="BE11" s="1">
        <v>4</v>
      </c>
      <c r="BF11" s="1">
        <v>4</v>
      </c>
      <c r="BG11" s="1">
        <v>4</v>
      </c>
      <c r="BH11" s="28">
        <v>10</v>
      </c>
      <c r="BI11" s="1">
        <v>10</v>
      </c>
      <c r="BJ11" s="1">
        <v>10</v>
      </c>
      <c r="BK11" s="1">
        <v>10</v>
      </c>
      <c r="BL11" s="1">
        <v>10</v>
      </c>
      <c r="BM11" s="28">
        <v>5</v>
      </c>
      <c r="BN11" s="1">
        <v>5</v>
      </c>
      <c r="BO11" s="1">
        <v>5</v>
      </c>
      <c r="BP11" s="1">
        <v>5</v>
      </c>
      <c r="BQ11" s="1">
        <v>5</v>
      </c>
    </row>
    <row r="12" spans="2:69" x14ac:dyDescent="0.35">
      <c r="B12" s="3" t="s">
        <v>39</v>
      </c>
      <c r="C12" s="1"/>
      <c r="D12" s="28">
        <v>14</v>
      </c>
      <c r="E12" s="1">
        <v>14</v>
      </c>
      <c r="F12" s="1">
        <v>14</v>
      </c>
      <c r="G12" s="1">
        <v>14</v>
      </c>
      <c r="H12" s="1">
        <v>14</v>
      </c>
      <c r="I12" s="1">
        <v>14</v>
      </c>
      <c r="J12" s="28">
        <v>14</v>
      </c>
      <c r="K12" s="1">
        <v>14</v>
      </c>
      <c r="L12" s="1">
        <v>14</v>
      </c>
      <c r="M12" s="1">
        <v>14</v>
      </c>
      <c r="N12" s="1">
        <v>14</v>
      </c>
      <c r="O12" s="1">
        <v>14</v>
      </c>
      <c r="P12" s="28">
        <v>14</v>
      </c>
      <c r="Q12" s="1">
        <v>14</v>
      </c>
      <c r="R12" s="1">
        <v>14</v>
      </c>
      <c r="S12" s="1">
        <v>14</v>
      </c>
      <c r="T12" s="1">
        <v>14</v>
      </c>
      <c r="U12" s="28">
        <v>14</v>
      </c>
      <c r="V12" s="1">
        <v>14</v>
      </c>
      <c r="W12" s="1">
        <v>14</v>
      </c>
      <c r="X12" s="1">
        <v>14</v>
      </c>
      <c r="Y12" s="1">
        <v>14</v>
      </c>
      <c r="Z12" s="28">
        <v>14</v>
      </c>
      <c r="AA12" s="1">
        <v>14</v>
      </c>
      <c r="AB12" s="1">
        <v>14</v>
      </c>
      <c r="AC12" s="1">
        <v>14</v>
      </c>
      <c r="AD12" s="1">
        <v>14</v>
      </c>
      <c r="AE12" s="1">
        <v>14</v>
      </c>
      <c r="AF12" s="28">
        <v>14</v>
      </c>
      <c r="AG12" s="1">
        <v>14</v>
      </c>
      <c r="AH12" s="1">
        <v>14</v>
      </c>
      <c r="AI12" s="1">
        <v>14</v>
      </c>
      <c r="AJ12" s="1">
        <v>14</v>
      </c>
      <c r="AK12" s="1">
        <v>14</v>
      </c>
      <c r="AL12" s="28">
        <v>14</v>
      </c>
      <c r="AM12" s="1">
        <v>14</v>
      </c>
      <c r="AN12" s="1">
        <v>14</v>
      </c>
      <c r="AO12" s="1">
        <v>14</v>
      </c>
      <c r="AP12" s="1">
        <v>14</v>
      </c>
      <c r="AQ12" s="28">
        <v>14</v>
      </c>
      <c r="AR12" s="1">
        <v>14</v>
      </c>
      <c r="AS12" s="1">
        <v>14</v>
      </c>
      <c r="AT12" s="1">
        <v>14</v>
      </c>
      <c r="AU12" s="1">
        <v>14</v>
      </c>
      <c r="AV12" s="28">
        <v>14</v>
      </c>
      <c r="AW12" s="1">
        <v>14</v>
      </c>
      <c r="AX12" s="1">
        <v>14</v>
      </c>
      <c r="AY12" s="1">
        <v>14</v>
      </c>
      <c r="AZ12" s="1">
        <v>14</v>
      </c>
      <c r="BA12" s="1">
        <v>14</v>
      </c>
      <c r="BB12" s="28">
        <v>14</v>
      </c>
      <c r="BC12" s="1">
        <v>14</v>
      </c>
      <c r="BD12" s="1">
        <v>14</v>
      </c>
      <c r="BE12" s="1">
        <v>14</v>
      </c>
      <c r="BF12" s="1">
        <v>14</v>
      </c>
      <c r="BG12" s="1">
        <v>14</v>
      </c>
      <c r="BH12" s="28">
        <v>14</v>
      </c>
      <c r="BI12" s="1">
        <v>14</v>
      </c>
      <c r="BJ12" s="1">
        <v>14</v>
      </c>
      <c r="BK12" s="1">
        <v>14</v>
      </c>
      <c r="BL12" s="1">
        <v>14</v>
      </c>
      <c r="BM12" s="28">
        <v>14</v>
      </c>
      <c r="BN12" s="1">
        <v>14</v>
      </c>
      <c r="BO12" s="1">
        <v>14</v>
      </c>
      <c r="BP12" s="1">
        <v>14</v>
      </c>
      <c r="BQ12" s="1">
        <v>14</v>
      </c>
    </row>
    <row r="13" spans="2:69" x14ac:dyDescent="0.35">
      <c r="B13" s="3" t="s">
        <v>40</v>
      </c>
      <c r="C13" s="1"/>
      <c r="D13" s="28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28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28">
        <v>1</v>
      </c>
      <c r="Q13" s="1">
        <v>1</v>
      </c>
      <c r="R13" s="1">
        <v>1</v>
      </c>
      <c r="S13" s="1">
        <v>1</v>
      </c>
      <c r="T13" s="1">
        <v>1</v>
      </c>
      <c r="U13" s="28">
        <v>1</v>
      </c>
      <c r="V13" s="1">
        <v>1</v>
      </c>
      <c r="W13" s="1">
        <v>1</v>
      </c>
      <c r="X13" s="1">
        <v>1</v>
      </c>
      <c r="Y13" s="1">
        <v>1</v>
      </c>
      <c r="Z13" s="28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28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28">
        <v>1</v>
      </c>
      <c r="AM13" s="1">
        <v>1</v>
      </c>
      <c r="AN13" s="1">
        <v>1</v>
      </c>
      <c r="AO13" s="1">
        <v>1</v>
      </c>
      <c r="AP13" s="1">
        <v>1</v>
      </c>
      <c r="AQ13" s="28">
        <v>1</v>
      </c>
      <c r="AR13" s="1">
        <v>1</v>
      </c>
      <c r="AS13" s="1">
        <v>1</v>
      </c>
      <c r="AT13" s="1">
        <v>1</v>
      </c>
      <c r="AU13" s="1">
        <v>1</v>
      </c>
      <c r="AV13" s="28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28">
        <v>1</v>
      </c>
      <c r="BC13" s="1">
        <v>1</v>
      </c>
      <c r="BD13" s="1">
        <v>1</v>
      </c>
      <c r="BE13" s="1">
        <v>1</v>
      </c>
      <c r="BF13" s="1">
        <v>1</v>
      </c>
      <c r="BG13" s="1">
        <v>1</v>
      </c>
      <c r="BH13" s="28">
        <v>1</v>
      </c>
      <c r="BI13" s="1">
        <v>1</v>
      </c>
      <c r="BJ13" s="1">
        <v>1</v>
      </c>
      <c r="BK13" s="1">
        <v>1</v>
      </c>
      <c r="BL13" s="1">
        <v>1</v>
      </c>
      <c r="BM13" s="28">
        <v>1</v>
      </c>
      <c r="BN13" s="1">
        <v>1</v>
      </c>
      <c r="BO13" s="1">
        <v>1</v>
      </c>
      <c r="BP13" s="1">
        <v>1</v>
      </c>
      <c r="BQ13" s="1">
        <v>1</v>
      </c>
    </row>
    <row r="14" spans="2:69" x14ac:dyDescent="0.35">
      <c r="B14" s="5" t="s">
        <v>14</v>
      </c>
      <c r="C14" s="1"/>
      <c r="D14" s="28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28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28">
        <v>1</v>
      </c>
      <c r="Q14" s="1">
        <v>1</v>
      </c>
      <c r="R14" s="1">
        <v>1</v>
      </c>
      <c r="S14" s="1">
        <v>1</v>
      </c>
      <c r="T14" s="1">
        <v>1</v>
      </c>
      <c r="U14" s="28">
        <v>1</v>
      </c>
      <c r="V14" s="1">
        <v>1</v>
      </c>
      <c r="W14" s="1">
        <v>1</v>
      </c>
      <c r="X14" s="1">
        <v>1</v>
      </c>
      <c r="Y14" s="1">
        <v>1</v>
      </c>
      <c r="Z14" s="28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28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28">
        <v>1</v>
      </c>
      <c r="AM14" s="1">
        <v>1</v>
      </c>
      <c r="AN14" s="1">
        <v>1</v>
      </c>
      <c r="AO14" s="1">
        <v>1</v>
      </c>
      <c r="AP14" s="1">
        <v>1</v>
      </c>
      <c r="AQ14" s="28">
        <v>1</v>
      </c>
      <c r="AR14" s="1">
        <v>1</v>
      </c>
      <c r="AS14" s="1">
        <v>1</v>
      </c>
      <c r="AT14" s="1">
        <v>1</v>
      </c>
      <c r="AU14" s="1">
        <v>1</v>
      </c>
      <c r="AV14" s="28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28">
        <v>1</v>
      </c>
      <c r="BC14" s="1">
        <v>1</v>
      </c>
      <c r="BD14" s="1">
        <v>1</v>
      </c>
      <c r="BE14" s="1">
        <v>1</v>
      </c>
      <c r="BF14" s="1">
        <v>1</v>
      </c>
      <c r="BG14" s="1">
        <v>1</v>
      </c>
      <c r="BH14" s="28">
        <v>1</v>
      </c>
      <c r="BI14" s="1">
        <v>1</v>
      </c>
      <c r="BJ14" s="1">
        <v>1</v>
      </c>
      <c r="BK14" s="1">
        <v>1</v>
      </c>
      <c r="BL14" s="1">
        <v>1</v>
      </c>
      <c r="BM14" s="28">
        <v>1</v>
      </c>
      <c r="BN14" s="1">
        <v>1</v>
      </c>
      <c r="BO14" s="1">
        <v>1</v>
      </c>
      <c r="BP14" s="1">
        <v>1</v>
      </c>
      <c r="BQ14" s="1">
        <v>1</v>
      </c>
    </row>
    <row r="15" spans="2:69" x14ac:dyDescent="0.35">
      <c r="B15" s="5" t="s">
        <v>15</v>
      </c>
      <c r="C15" s="1"/>
      <c r="D15" s="28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28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28">
        <v>0</v>
      </c>
      <c r="Q15" s="1">
        <v>0</v>
      </c>
      <c r="R15" s="1">
        <v>0</v>
      </c>
      <c r="S15" s="1">
        <v>0</v>
      </c>
      <c r="T15" s="1">
        <v>0</v>
      </c>
      <c r="U15" s="28">
        <v>0</v>
      </c>
      <c r="V15" s="1">
        <v>0</v>
      </c>
      <c r="W15" s="1">
        <v>0</v>
      </c>
      <c r="X15" s="1">
        <v>0</v>
      </c>
      <c r="Y15" s="1">
        <v>0</v>
      </c>
      <c r="Z15" s="28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28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28">
        <v>0</v>
      </c>
      <c r="AM15" s="1">
        <v>0</v>
      </c>
      <c r="AN15" s="1">
        <v>0</v>
      </c>
      <c r="AO15" s="1">
        <v>0</v>
      </c>
      <c r="AP15" s="1">
        <v>0</v>
      </c>
      <c r="AQ15" s="28">
        <v>0</v>
      </c>
      <c r="AR15" s="1">
        <v>0</v>
      </c>
      <c r="AS15" s="1">
        <v>0</v>
      </c>
      <c r="AT15" s="1">
        <v>0</v>
      </c>
      <c r="AU15" s="1">
        <v>0</v>
      </c>
      <c r="AV15" s="28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28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28">
        <v>0</v>
      </c>
      <c r="BI15" s="1">
        <v>0</v>
      </c>
      <c r="BJ15" s="1">
        <v>0</v>
      </c>
      <c r="BK15" s="1">
        <v>0</v>
      </c>
      <c r="BL15" s="1">
        <v>0</v>
      </c>
      <c r="BM15" s="28">
        <v>0</v>
      </c>
      <c r="BN15" s="1">
        <v>0</v>
      </c>
      <c r="BO15" s="1">
        <v>0</v>
      </c>
      <c r="BP15" s="1">
        <v>0</v>
      </c>
      <c r="BQ15" s="1">
        <v>0</v>
      </c>
    </row>
    <row r="16" spans="2:69" x14ac:dyDescent="0.35">
      <c r="B16" s="3" t="s">
        <v>16</v>
      </c>
      <c r="C16" s="1"/>
      <c r="D16" s="28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28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28">
        <v>2</v>
      </c>
      <c r="Q16" s="1">
        <v>2</v>
      </c>
      <c r="R16" s="1">
        <v>2</v>
      </c>
      <c r="S16" s="1">
        <v>2</v>
      </c>
      <c r="T16" s="1">
        <v>2</v>
      </c>
      <c r="U16" s="28">
        <v>2</v>
      </c>
      <c r="V16" s="1">
        <v>2</v>
      </c>
      <c r="W16" s="1">
        <v>2</v>
      </c>
      <c r="X16" s="1">
        <v>2</v>
      </c>
      <c r="Y16" s="1">
        <v>2</v>
      </c>
      <c r="Z16" s="28">
        <v>2</v>
      </c>
      <c r="AA16" s="1">
        <v>2</v>
      </c>
      <c r="AB16" s="1">
        <v>2</v>
      </c>
      <c r="AC16" s="1">
        <v>2</v>
      </c>
      <c r="AD16" s="1">
        <v>2</v>
      </c>
      <c r="AE16" s="1">
        <v>2</v>
      </c>
      <c r="AF16" s="28">
        <v>2</v>
      </c>
      <c r="AG16" s="1">
        <v>2</v>
      </c>
      <c r="AH16" s="1">
        <v>2</v>
      </c>
      <c r="AI16" s="1">
        <v>2</v>
      </c>
      <c r="AJ16" s="1">
        <v>2</v>
      </c>
      <c r="AK16" s="1">
        <v>2</v>
      </c>
      <c r="AL16" s="28">
        <v>2</v>
      </c>
      <c r="AM16" s="1">
        <v>2</v>
      </c>
      <c r="AN16" s="1">
        <v>2</v>
      </c>
      <c r="AO16" s="1">
        <v>2</v>
      </c>
      <c r="AP16" s="1">
        <v>2</v>
      </c>
      <c r="AQ16" s="28">
        <v>2</v>
      </c>
      <c r="AR16" s="1">
        <v>2</v>
      </c>
      <c r="AS16" s="1">
        <v>2</v>
      </c>
      <c r="AT16" s="1">
        <v>2</v>
      </c>
      <c r="AU16" s="1">
        <v>2</v>
      </c>
      <c r="AV16" s="28">
        <v>2</v>
      </c>
      <c r="AW16" s="1">
        <v>2</v>
      </c>
      <c r="AX16" s="1">
        <v>2</v>
      </c>
      <c r="AY16" s="1">
        <v>2</v>
      </c>
      <c r="AZ16" s="1">
        <v>2</v>
      </c>
      <c r="BA16" s="1">
        <v>2</v>
      </c>
      <c r="BB16" s="28">
        <v>2</v>
      </c>
      <c r="BC16" s="1">
        <v>2</v>
      </c>
      <c r="BD16" s="1">
        <v>2</v>
      </c>
      <c r="BE16" s="1">
        <v>2</v>
      </c>
      <c r="BF16" s="1">
        <v>2</v>
      </c>
      <c r="BG16" s="1">
        <v>2</v>
      </c>
      <c r="BH16" s="28">
        <v>2</v>
      </c>
      <c r="BI16" s="1">
        <v>2</v>
      </c>
      <c r="BJ16" s="1">
        <v>2</v>
      </c>
      <c r="BK16" s="1">
        <v>2</v>
      </c>
      <c r="BL16" s="1">
        <v>2</v>
      </c>
      <c r="BM16" s="28">
        <v>2</v>
      </c>
      <c r="BN16" s="1">
        <v>2</v>
      </c>
      <c r="BO16" s="1">
        <v>2</v>
      </c>
      <c r="BP16" s="1">
        <v>2</v>
      </c>
      <c r="BQ16" s="1">
        <v>2</v>
      </c>
    </row>
    <row r="17" spans="2:69" x14ac:dyDescent="0.35">
      <c r="B17" s="3" t="s">
        <v>17</v>
      </c>
      <c r="C17" s="1"/>
      <c r="D17" s="28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28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28">
        <v>27</v>
      </c>
      <c r="Q17" s="1">
        <v>27</v>
      </c>
      <c r="R17" s="1">
        <v>27</v>
      </c>
      <c r="S17" s="1">
        <v>27</v>
      </c>
      <c r="T17" s="1">
        <v>27</v>
      </c>
      <c r="U17" s="28">
        <v>27</v>
      </c>
      <c r="V17" s="1">
        <v>27</v>
      </c>
      <c r="W17" s="1">
        <v>27</v>
      </c>
      <c r="X17" s="1">
        <v>27</v>
      </c>
      <c r="Y17" s="1">
        <v>27</v>
      </c>
      <c r="Z17" s="28">
        <v>27</v>
      </c>
      <c r="AA17" s="1">
        <v>27</v>
      </c>
      <c r="AB17" s="1">
        <v>27</v>
      </c>
      <c r="AC17" s="1">
        <v>27</v>
      </c>
      <c r="AD17" s="1">
        <v>27</v>
      </c>
      <c r="AE17" s="1">
        <v>27</v>
      </c>
      <c r="AF17" s="28">
        <v>27</v>
      </c>
      <c r="AG17" s="1">
        <v>27</v>
      </c>
      <c r="AH17" s="1">
        <v>27</v>
      </c>
      <c r="AI17" s="1">
        <v>27</v>
      </c>
      <c r="AJ17" s="1">
        <v>27</v>
      </c>
      <c r="AK17" s="1">
        <v>27</v>
      </c>
      <c r="AL17" s="28">
        <v>27</v>
      </c>
      <c r="AM17" s="1">
        <v>27</v>
      </c>
      <c r="AN17" s="1">
        <v>27</v>
      </c>
      <c r="AO17" s="1">
        <v>27</v>
      </c>
      <c r="AP17" s="1">
        <v>27</v>
      </c>
      <c r="AQ17" s="28">
        <v>27</v>
      </c>
      <c r="AR17" s="1">
        <v>27</v>
      </c>
      <c r="AS17" s="1">
        <v>27</v>
      </c>
      <c r="AT17" s="1">
        <v>27</v>
      </c>
      <c r="AU17" s="1">
        <v>27</v>
      </c>
      <c r="AV17" s="28">
        <v>27</v>
      </c>
      <c r="AW17" s="1">
        <v>27</v>
      </c>
      <c r="AX17" s="1">
        <v>27</v>
      </c>
      <c r="AY17" s="1">
        <v>27</v>
      </c>
      <c r="AZ17" s="1">
        <v>27</v>
      </c>
      <c r="BA17" s="1">
        <v>27</v>
      </c>
      <c r="BB17" s="28">
        <v>27</v>
      </c>
      <c r="BC17" s="1">
        <v>27</v>
      </c>
      <c r="BD17" s="1">
        <v>27</v>
      </c>
      <c r="BE17" s="1">
        <v>27</v>
      </c>
      <c r="BF17" s="1">
        <v>27</v>
      </c>
      <c r="BG17" s="1">
        <v>27</v>
      </c>
      <c r="BH17" s="28">
        <v>27</v>
      </c>
      <c r="BI17" s="1">
        <v>27</v>
      </c>
      <c r="BJ17" s="1">
        <v>27</v>
      </c>
      <c r="BK17" s="1">
        <v>27</v>
      </c>
      <c r="BL17" s="1">
        <v>27</v>
      </c>
      <c r="BM17" s="28">
        <v>27</v>
      </c>
      <c r="BN17" s="1">
        <v>27</v>
      </c>
      <c r="BO17" s="1">
        <v>27</v>
      </c>
      <c r="BP17" s="1">
        <v>27</v>
      </c>
      <c r="BQ17" s="1">
        <v>27</v>
      </c>
    </row>
    <row r="18" spans="2:69" x14ac:dyDescent="0.35">
      <c r="B18" s="3" t="s">
        <v>18</v>
      </c>
      <c r="C18" s="1"/>
      <c r="D18" s="28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28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28">
        <v>1</v>
      </c>
      <c r="Q18" s="1">
        <v>1</v>
      </c>
      <c r="R18" s="1">
        <v>1</v>
      </c>
      <c r="S18" s="1">
        <v>1</v>
      </c>
      <c r="T18" s="1">
        <v>1</v>
      </c>
      <c r="U18" s="28">
        <v>1</v>
      </c>
      <c r="V18" s="1">
        <v>1</v>
      </c>
      <c r="W18" s="1">
        <v>1</v>
      </c>
      <c r="X18" s="1">
        <v>1</v>
      </c>
      <c r="Y18" s="1">
        <v>1</v>
      </c>
      <c r="Z18" s="28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28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28">
        <v>1</v>
      </c>
      <c r="AM18" s="1">
        <v>1</v>
      </c>
      <c r="AN18" s="1">
        <v>1</v>
      </c>
      <c r="AO18" s="1">
        <v>1</v>
      </c>
      <c r="AP18" s="1">
        <v>1</v>
      </c>
      <c r="AQ18" s="28">
        <v>1</v>
      </c>
      <c r="AR18" s="1">
        <v>1</v>
      </c>
      <c r="AS18" s="1">
        <v>1</v>
      </c>
      <c r="AT18" s="1">
        <v>1</v>
      </c>
      <c r="AU18" s="1">
        <v>1</v>
      </c>
      <c r="AV18" s="28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28">
        <v>1</v>
      </c>
      <c r="BC18" s="1">
        <v>1</v>
      </c>
      <c r="BD18" s="1">
        <v>1</v>
      </c>
      <c r="BE18" s="1">
        <v>1</v>
      </c>
      <c r="BF18" s="1">
        <v>1</v>
      </c>
      <c r="BG18" s="1">
        <v>1</v>
      </c>
      <c r="BH18" s="28">
        <v>1</v>
      </c>
      <c r="BI18" s="1">
        <v>1</v>
      </c>
      <c r="BJ18" s="1">
        <v>1</v>
      </c>
      <c r="BK18" s="1">
        <v>1</v>
      </c>
      <c r="BL18" s="1">
        <v>1</v>
      </c>
      <c r="BM18" s="28">
        <v>1</v>
      </c>
      <c r="BN18" s="1">
        <v>1</v>
      </c>
      <c r="BO18" s="1">
        <v>1</v>
      </c>
      <c r="BP18" s="1">
        <v>1</v>
      </c>
      <c r="BQ18" s="1">
        <v>1</v>
      </c>
    </row>
    <row r="19" spans="2:69" x14ac:dyDescent="0.35">
      <c r="B19" s="3" t="s">
        <v>19</v>
      </c>
      <c r="C19" s="1"/>
      <c r="D19" s="28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28">
        <v>1</v>
      </c>
      <c r="K19" s="1">
        <v>1</v>
      </c>
      <c r="L19" s="1">
        <v>1</v>
      </c>
      <c r="M19" s="1">
        <v>1</v>
      </c>
      <c r="N19" s="1">
        <v>1</v>
      </c>
      <c r="O19" s="1">
        <v>1</v>
      </c>
      <c r="P19" s="28">
        <v>1</v>
      </c>
      <c r="Q19" s="1">
        <v>1</v>
      </c>
      <c r="R19" s="1">
        <v>1</v>
      </c>
      <c r="S19" s="1">
        <v>1</v>
      </c>
      <c r="T19" s="1">
        <v>1</v>
      </c>
      <c r="U19" s="28">
        <v>1</v>
      </c>
      <c r="V19" s="1">
        <v>1</v>
      </c>
      <c r="W19" s="1">
        <v>1</v>
      </c>
      <c r="X19" s="1">
        <v>1</v>
      </c>
      <c r="Y19" s="1">
        <v>1</v>
      </c>
      <c r="Z19" s="28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28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28">
        <v>1</v>
      </c>
      <c r="AM19" s="1">
        <v>1</v>
      </c>
      <c r="AN19" s="1">
        <v>1</v>
      </c>
      <c r="AO19" s="1">
        <v>1</v>
      </c>
      <c r="AP19" s="1">
        <v>1</v>
      </c>
      <c r="AQ19" s="28">
        <v>1</v>
      </c>
      <c r="AR19" s="1">
        <v>1</v>
      </c>
      <c r="AS19" s="1">
        <v>1</v>
      </c>
      <c r="AT19" s="1">
        <v>1</v>
      </c>
      <c r="AU19" s="1">
        <v>1</v>
      </c>
      <c r="AV19" s="28">
        <v>1</v>
      </c>
      <c r="AW19" s="1">
        <v>1</v>
      </c>
      <c r="AX19" s="1">
        <v>1</v>
      </c>
      <c r="AY19" s="1">
        <v>1</v>
      </c>
      <c r="AZ19" s="1">
        <v>1</v>
      </c>
      <c r="BA19" s="1">
        <v>1</v>
      </c>
      <c r="BB19" s="28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28">
        <v>1</v>
      </c>
      <c r="BI19" s="1">
        <v>1</v>
      </c>
      <c r="BJ19" s="1">
        <v>1</v>
      </c>
      <c r="BK19" s="1">
        <v>1</v>
      </c>
      <c r="BL19" s="1">
        <v>1</v>
      </c>
      <c r="BM19" s="28">
        <v>1</v>
      </c>
      <c r="BN19" s="1">
        <v>1</v>
      </c>
      <c r="BO19" s="1">
        <v>1</v>
      </c>
      <c r="BP19" s="1">
        <v>1</v>
      </c>
      <c r="BQ19" s="1">
        <v>1</v>
      </c>
    </row>
    <row r="20" spans="2:69" x14ac:dyDescent="0.35">
      <c r="B20" s="3" t="s">
        <v>20</v>
      </c>
      <c r="C20" s="1"/>
      <c r="D20" s="28" t="s">
        <v>21</v>
      </c>
      <c r="E20" s="1" t="s">
        <v>21</v>
      </c>
      <c r="F20" s="1" t="s">
        <v>21</v>
      </c>
      <c r="G20" s="1" t="s">
        <v>21</v>
      </c>
      <c r="H20" s="1" t="s">
        <v>21</v>
      </c>
      <c r="I20" s="1" t="s">
        <v>21</v>
      </c>
      <c r="J20" s="28" t="s">
        <v>21</v>
      </c>
      <c r="K20" s="1" t="s">
        <v>21</v>
      </c>
      <c r="L20" s="1" t="s">
        <v>21</v>
      </c>
      <c r="M20" s="1" t="s">
        <v>21</v>
      </c>
      <c r="N20" s="1" t="s">
        <v>21</v>
      </c>
      <c r="O20" s="1" t="s">
        <v>21</v>
      </c>
      <c r="P20" s="28" t="s">
        <v>21</v>
      </c>
      <c r="Q20" s="1" t="s">
        <v>21</v>
      </c>
      <c r="R20" s="1" t="s">
        <v>21</v>
      </c>
      <c r="S20" s="1" t="s">
        <v>21</v>
      </c>
      <c r="T20" s="1" t="s">
        <v>21</v>
      </c>
      <c r="U20" s="28" t="s">
        <v>21</v>
      </c>
      <c r="V20" s="1" t="s">
        <v>21</v>
      </c>
      <c r="W20" s="1" t="s">
        <v>21</v>
      </c>
      <c r="X20" s="1" t="s">
        <v>21</v>
      </c>
      <c r="Y20" s="1" t="s">
        <v>21</v>
      </c>
      <c r="Z20" s="28" t="s">
        <v>21</v>
      </c>
      <c r="AA20" s="1" t="s">
        <v>21</v>
      </c>
      <c r="AB20" s="1" t="s">
        <v>21</v>
      </c>
      <c r="AC20" s="1" t="s">
        <v>21</v>
      </c>
      <c r="AD20" s="1" t="s">
        <v>21</v>
      </c>
      <c r="AE20" s="1" t="s">
        <v>21</v>
      </c>
      <c r="AF20" s="28" t="s">
        <v>21</v>
      </c>
      <c r="AG20" s="1" t="s">
        <v>21</v>
      </c>
      <c r="AH20" s="1" t="s">
        <v>21</v>
      </c>
      <c r="AI20" s="1" t="s">
        <v>21</v>
      </c>
      <c r="AJ20" s="1" t="s">
        <v>21</v>
      </c>
      <c r="AK20" s="1" t="s">
        <v>21</v>
      </c>
      <c r="AL20" s="28" t="s">
        <v>21</v>
      </c>
      <c r="AM20" s="1" t="s">
        <v>21</v>
      </c>
      <c r="AN20" s="1" t="s">
        <v>21</v>
      </c>
      <c r="AO20" s="1" t="s">
        <v>21</v>
      </c>
      <c r="AP20" s="1" t="s">
        <v>21</v>
      </c>
      <c r="AQ20" s="28" t="s">
        <v>21</v>
      </c>
      <c r="AR20" s="1" t="s">
        <v>21</v>
      </c>
      <c r="AS20" s="1" t="s">
        <v>21</v>
      </c>
      <c r="AT20" s="1" t="s">
        <v>21</v>
      </c>
      <c r="AU20" s="1" t="s">
        <v>21</v>
      </c>
      <c r="AV20" s="28" t="s">
        <v>21</v>
      </c>
      <c r="AW20" s="1" t="s">
        <v>21</v>
      </c>
      <c r="AX20" s="1" t="s">
        <v>21</v>
      </c>
      <c r="AY20" s="1" t="s">
        <v>21</v>
      </c>
      <c r="AZ20" s="1" t="s">
        <v>21</v>
      </c>
      <c r="BA20" s="1" t="s">
        <v>21</v>
      </c>
      <c r="BB20" s="28" t="s">
        <v>21</v>
      </c>
      <c r="BC20" s="1" t="s">
        <v>21</v>
      </c>
      <c r="BD20" s="1" t="s">
        <v>21</v>
      </c>
      <c r="BE20" s="1" t="s">
        <v>21</v>
      </c>
      <c r="BF20" s="1" t="s">
        <v>21</v>
      </c>
      <c r="BG20" s="1" t="s">
        <v>21</v>
      </c>
      <c r="BH20" s="28" t="s">
        <v>21</v>
      </c>
      <c r="BI20" s="1" t="s">
        <v>21</v>
      </c>
      <c r="BJ20" s="1" t="s">
        <v>21</v>
      </c>
      <c r="BK20" s="1" t="s">
        <v>21</v>
      </c>
      <c r="BL20" s="1" t="s">
        <v>21</v>
      </c>
      <c r="BM20" s="28" t="s">
        <v>21</v>
      </c>
      <c r="BN20" s="1" t="s">
        <v>21</v>
      </c>
      <c r="BO20" s="1" t="s">
        <v>21</v>
      </c>
      <c r="BP20" s="1" t="s">
        <v>21</v>
      </c>
      <c r="BQ20" s="1" t="s">
        <v>21</v>
      </c>
    </row>
    <row r="21" spans="2:69" x14ac:dyDescent="0.35">
      <c r="B21" s="6" t="s">
        <v>22</v>
      </c>
      <c r="C21" s="1"/>
      <c r="D21" s="29"/>
      <c r="E21" s="17"/>
      <c r="F21" s="17"/>
      <c r="G21" s="17"/>
      <c r="H21" s="17"/>
      <c r="I21" s="17"/>
      <c r="J21" s="29"/>
      <c r="K21" s="17"/>
      <c r="L21" s="17"/>
      <c r="M21" s="17"/>
      <c r="N21" s="17"/>
      <c r="O21" s="17"/>
      <c r="P21" s="29"/>
      <c r="Q21" s="17"/>
      <c r="R21" s="17"/>
      <c r="S21" s="17"/>
      <c r="T21" s="17"/>
      <c r="U21" s="29"/>
      <c r="V21" s="17"/>
      <c r="W21" s="17"/>
      <c r="X21" s="17"/>
      <c r="Y21" s="17"/>
      <c r="Z21" s="29"/>
      <c r="AA21" s="17"/>
      <c r="AB21" s="17"/>
      <c r="AC21" s="17"/>
      <c r="AD21" s="17"/>
      <c r="AE21" s="17"/>
      <c r="AF21" s="29"/>
      <c r="AG21" s="17"/>
      <c r="AH21" s="17"/>
      <c r="AI21" s="17"/>
      <c r="AJ21" s="17"/>
      <c r="AK21" s="17"/>
      <c r="AL21" s="29"/>
      <c r="AM21" s="17"/>
      <c r="AN21" s="17"/>
      <c r="AO21" s="17"/>
      <c r="AP21" s="17"/>
      <c r="AQ21" s="29"/>
      <c r="AR21" s="17"/>
      <c r="AS21" s="17"/>
      <c r="AT21" s="17"/>
      <c r="AU21" s="17"/>
      <c r="AV21" s="29"/>
      <c r="AW21" s="17"/>
      <c r="AX21" s="17"/>
      <c r="AY21" s="17"/>
      <c r="AZ21" s="17"/>
      <c r="BA21" s="17"/>
      <c r="BB21" s="29"/>
      <c r="BC21" s="17"/>
      <c r="BD21" s="17"/>
      <c r="BE21" s="17"/>
      <c r="BF21" s="17"/>
      <c r="BG21" s="17"/>
      <c r="BH21" s="29"/>
      <c r="BI21" s="17"/>
      <c r="BJ21" s="17"/>
      <c r="BK21" s="17"/>
      <c r="BL21" s="17"/>
      <c r="BM21" s="29"/>
      <c r="BN21" s="17"/>
      <c r="BO21" s="17"/>
      <c r="BP21" s="17"/>
      <c r="BQ21" s="17"/>
    </row>
    <row r="22" spans="2:69" x14ac:dyDescent="0.35">
      <c r="B22" s="7" t="s">
        <v>23</v>
      </c>
      <c r="C22" s="1"/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28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28" t="s">
        <v>24</v>
      </c>
      <c r="Q22" s="1" t="s">
        <v>24</v>
      </c>
      <c r="R22" s="1" t="s">
        <v>24</v>
      </c>
      <c r="S22" s="1" t="s">
        <v>24</v>
      </c>
      <c r="T22" s="1" t="s">
        <v>24</v>
      </c>
      <c r="U22" s="28" t="s">
        <v>24</v>
      </c>
      <c r="V22" s="1" t="s">
        <v>24</v>
      </c>
      <c r="W22" s="1" t="s">
        <v>24</v>
      </c>
      <c r="X22" s="1" t="s">
        <v>24</v>
      </c>
      <c r="Y22" s="1" t="s">
        <v>24</v>
      </c>
      <c r="Z22" s="28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1" t="s">
        <v>24</v>
      </c>
      <c r="AF22" s="28" t="s">
        <v>24</v>
      </c>
      <c r="AG22" s="1" t="s">
        <v>24</v>
      </c>
      <c r="AH22" s="1" t="s">
        <v>24</v>
      </c>
      <c r="AI22" s="1" t="s">
        <v>24</v>
      </c>
      <c r="AJ22" s="1" t="s">
        <v>24</v>
      </c>
      <c r="AK22" s="1" t="s">
        <v>24</v>
      </c>
      <c r="AL22" s="28" t="s">
        <v>24</v>
      </c>
      <c r="AM22" s="1" t="s">
        <v>24</v>
      </c>
      <c r="AN22" s="1" t="s">
        <v>24</v>
      </c>
      <c r="AO22" s="1" t="s">
        <v>24</v>
      </c>
      <c r="AP22" s="1" t="s">
        <v>24</v>
      </c>
      <c r="AQ22" s="28" t="s">
        <v>24</v>
      </c>
      <c r="AR22" s="1" t="s">
        <v>24</v>
      </c>
      <c r="AS22" s="1" t="s">
        <v>24</v>
      </c>
      <c r="AT22" s="1" t="s">
        <v>24</v>
      </c>
      <c r="AU22" s="1" t="s">
        <v>24</v>
      </c>
      <c r="AV22" s="28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1" t="s">
        <v>24</v>
      </c>
      <c r="BB22" s="28" t="s">
        <v>24</v>
      </c>
      <c r="BC22" s="1" t="s">
        <v>24</v>
      </c>
      <c r="BD22" s="1" t="s">
        <v>24</v>
      </c>
      <c r="BE22" s="1" t="s">
        <v>24</v>
      </c>
      <c r="BF22" s="1" t="s">
        <v>24</v>
      </c>
      <c r="BG22" s="1" t="s">
        <v>24</v>
      </c>
      <c r="BH22" s="28" t="s">
        <v>24</v>
      </c>
      <c r="BI22" s="1" t="s">
        <v>24</v>
      </c>
      <c r="BJ22" s="1" t="s">
        <v>24</v>
      </c>
      <c r="BK22" s="1" t="s">
        <v>24</v>
      </c>
      <c r="BL22" s="1" t="s">
        <v>24</v>
      </c>
      <c r="BM22" s="28" t="s">
        <v>24</v>
      </c>
      <c r="BN22" s="1" t="s">
        <v>24</v>
      </c>
      <c r="BO22" s="1" t="s">
        <v>24</v>
      </c>
      <c r="BP22" s="1" t="s">
        <v>24</v>
      </c>
      <c r="BQ22" s="1" t="s">
        <v>24</v>
      </c>
    </row>
    <row r="23" spans="2:69" x14ac:dyDescent="0.35">
      <c r="B23" s="7" t="s">
        <v>25</v>
      </c>
      <c r="C23" s="1"/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28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28">
        <v>0</v>
      </c>
      <c r="Q23" s="1">
        <v>0</v>
      </c>
      <c r="R23" s="1">
        <v>0</v>
      </c>
      <c r="S23" s="1">
        <v>0</v>
      </c>
      <c r="T23" s="1">
        <v>0</v>
      </c>
      <c r="U23" s="28">
        <v>0</v>
      </c>
      <c r="V23" s="1">
        <v>0</v>
      </c>
      <c r="W23" s="1">
        <v>0</v>
      </c>
      <c r="X23" s="1">
        <v>0</v>
      </c>
      <c r="Y23" s="1">
        <v>0</v>
      </c>
      <c r="Z23" s="28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28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28">
        <v>0</v>
      </c>
      <c r="AM23" s="1">
        <v>0</v>
      </c>
      <c r="AN23" s="1">
        <v>0</v>
      </c>
      <c r="AO23" s="1">
        <v>0</v>
      </c>
      <c r="AP23" s="1">
        <v>0</v>
      </c>
      <c r="AQ23" s="28">
        <v>0</v>
      </c>
      <c r="AR23" s="1">
        <v>0</v>
      </c>
      <c r="AS23" s="1">
        <v>0</v>
      </c>
      <c r="AT23" s="1">
        <v>0</v>
      </c>
      <c r="AU23" s="1">
        <v>0</v>
      </c>
      <c r="AV23" s="28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28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28">
        <v>0</v>
      </c>
      <c r="BI23" s="1">
        <v>0</v>
      </c>
      <c r="BJ23" s="1">
        <v>0</v>
      </c>
      <c r="BK23" s="1">
        <v>0</v>
      </c>
      <c r="BL23" s="1">
        <v>0</v>
      </c>
      <c r="BM23" s="28">
        <v>0</v>
      </c>
      <c r="BN23" s="1">
        <v>0</v>
      </c>
      <c r="BO23" s="1">
        <v>0</v>
      </c>
      <c r="BP23" s="1">
        <v>0</v>
      </c>
      <c r="BQ23" s="1">
        <v>0</v>
      </c>
    </row>
    <row r="24" spans="2:69" x14ac:dyDescent="0.35">
      <c r="B24" s="7" t="s">
        <v>26</v>
      </c>
      <c r="C24" s="1"/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28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28" t="s">
        <v>27</v>
      </c>
      <c r="Q24" s="1" t="s">
        <v>27</v>
      </c>
      <c r="R24" s="1" t="s">
        <v>27</v>
      </c>
      <c r="S24" s="1" t="s">
        <v>27</v>
      </c>
      <c r="T24" s="1" t="s">
        <v>27</v>
      </c>
      <c r="U24" s="28" t="s">
        <v>27</v>
      </c>
      <c r="V24" s="1" t="s">
        <v>27</v>
      </c>
      <c r="W24" s="1" t="s">
        <v>27</v>
      </c>
      <c r="X24" s="1" t="s">
        <v>27</v>
      </c>
      <c r="Y24" s="1" t="s">
        <v>27</v>
      </c>
      <c r="Z24" s="28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1" t="s">
        <v>27</v>
      </c>
      <c r="AF24" s="28" t="s">
        <v>27</v>
      </c>
      <c r="AG24" s="1" t="s">
        <v>27</v>
      </c>
      <c r="AH24" s="1" t="s">
        <v>27</v>
      </c>
      <c r="AI24" s="1" t="s">
        <v>27</v>
      </c>
      <c r="AJ24" s="1" t="s">
        <v>27</v>
      </c>
      <c r="AK24" s="1" t="s">
        <v>27</v>
      </c>
      <c r="AL24" s="28" t="s">
        <v>27</v>
      </c>
      <c r="AM24" s="1" t="s">
        <v>27</v>
      </c>
      <c r="AN24" s="1" t="s">
        <v>27</v>
      </c>
      <c r="AO24" s="1" t="s">
        <v>27</v>
      </c>
      <c r="AP24" s="1" t="s">
        <v>27</v>
      </c>
      <c r="AQ24" s="28" t="s">
        <v>27</v>
      </c>
      <c r="AR24" s="1" t="s">
        <v>27</v>
      </c>
      <c r="AS24" s="1" t="s">
        <v>27</v>
      </c>
      <c r="AT24" s="1" t="s">
        <v>27</v>
      </c>
      <c r="AU24" s="1" t="s">
        <v>27</v>
      </c>
      <c r="AV24" s="28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1" t="s">
        <v>27</v>
      </c>
      <c r="BB24" s="28" t="s">
        <v>27</v>
      </c>
      <c r="BC24" s="1" t="s">
        <v>27</v>
      </c>
      <c r="BD24" s="1" t="s">
        <v>27</v>
      </c>
      <c r="BE24" s="1" t="s">
        <v>27</v>
      </c>
      <c r="BF24" s="1" t="s">
        <v>27</v>
      </c>
      <c r="BG24" s="1" t="s">
        <v>27</v>
      </c>
      <c r="BH24" s="28" t="s">
        <v>27</v>
      </c>
      <c r="BI24" s="1" t="s">
        <v>27</v>
      </c>
      <c r="BJ24" s="1" t="s">
        <v>27</v>
      </c>
      <c r="BK24" s="1" t="s">
        <v>27</v>
      </c>
      <c r="BL24" s="1" t="s">
        <v>27</v>
      </c>
      <c r="BM24" s="28" t="s">
        <v>27</v>
      </c>
      <c r="BN24" s="1" t="s">
        <v>27</v>
      </c>
      <c r="BO24" s="1" t="s">
        <v>27</v>
      </c>
      <c r="BP24" s="1" t="s">
        <v>27</v>
      </c>
      <c r="BQ24" s="1" t="s">
        <v>27</v>
      </c>
    </row>
    <row r="25" spans="2:69" x14ac:dyDescent="0.35">
      <c r="B25" s="6" t="s">
        <v>28</v>
      </c>
      <c r="C25" s="1"/>
      <c r="D25" s="29"/>
      <c r="E25" s="17"/>
      <c r="F25" s="17"/>
      <c r="G25" s="17"/>
      <c r="H25" s="17"/>
      <c r="I25" s="17"/>
      <c r="J25" s="29"/>
      <c r="K25" s="17"/>
      <c r="L25" s="17"/>
      <c r="M25" s="17"/>
      <c r="N25" s="17"/>
      <c r="O25" s="17"/>
      <c r="P25" s="29"/>
      <c r="Q25" s="17"/>
      <c r="R25" s="17"/>
      <c r="S25" s="17"/>
      <c r="T25" s="17"/>
      <c r="U25" s="29"/>
      <c r="V25" s="17"/>
      <c r="W25" s="17"/>
      <c r="X25" s="17"/>
      <c r="Y25" s="17"/>
      <c r="Z25" s="29"/>
      <c r="AA25" s="17"/>
      <c r="AB25" s="17"/>
      <c r="AC25" s="17"/>
      <c r="AD25" s="17"/>
      <c r="AE25" s="17"/>
      <c r="AF25" s="29"/>
      <c r="AG25" s="17"/>
      <c r="AH25" s="17"/>
      <c r="AI25" s="17"/>
      <c r="AJ25" s="17"/>
      <c r="AK25" s="17"/>
      <c r="AL25" s="29"/>
      <c r="AM25" s="17"/>
      <c r="AN25" s="17"/>
      <c r="AO25" s="17"/>
      <c r="AP25" s="17"/>
      <c r="AQ25" s="29"/>
      <c r="AR25" s="17"/>
      <c r="AS25" s="17"/>
      <c r="AT25" s="17"/>
      <c r="AU25" s="17"/>
      <c r="AV25" s="29"/>
      <c r="AW25" s="17"/>
      <c r="AX25" s="17"/>
      <c r="AY25" s="17"/>
      <c r="AZ25" s="17"/>
      <c r="BA25" s="17"/>
      <c r="BB25" s="29"/>
      <c r="BC25" s="17"/>
      <c r="BD25" s="17"/>
      <c r="BE25" s="17"/>
      <c r="BF25" s="17"/>
      <c r="BG25" s="17"/>
      <c r="BH25" s="29"/>
      <c r="BI25" s="17"/>
      <c r="BJ25" s="17"/>
      <c r="BK25" s="17"/>
      <c r="BL25" s="17"/>
      <c r="BM25" s="29"/>
      <c r="BN25" s="17"/>
      <c r="BO25" s="17"/>
      <c r="BP25" s="17"/>
      <c r="BQ25" s="17"/>
    </row>
    <row r="26" spans="2:69" x14ac:dyDescent="0.35">
      <c r="B26" s="8" t="s">
        <v>29</v>
      </c>
      <c r="C26" s="1"/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1" cm="1">
        <f t="array" ref="I26">Comm_MCS_ModOrd(I16,I17)</f>
        <v>8</v>
      </c>
      <c r="J26" s="28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" cm="1">
        <f t="array" ref="O26">Comm_MCS_ModOrd(O16,O17)</f>
        <v>8</v>
      </c>
      <c r="P26" s="28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" cm="1">
        <f t="array" ref="S26">Comm_MCS_ModOrd(S16,S17)</f>
        <v>8</v>
      </c>
      <c r="T26" s="1" cm="1">
        <f t="array" ref="T26">Comm_MCS_ModOrd(T16,T17)</f>
        <v>8</v>
      </c>
      <c r="U26" s="28" cm="1">
        <f t="array" ref="U26">Comm_MCS_ModOrd(U16,U17)</f>
        <v>8</v>
      </c>
      <c r="V26" s="1" cm="1">
        <f t="array" ref="V26">Comm_MCS_ModOrd(V16,V17)</f>
        <v>8</v>
      </c>
      <c r="W26" s="1" cm="1">
        <f t="array" ref="W26">Comm_MCS_ModOrd(W16,W17)</f>
        <v>8</v>
      </c>
      <c r="X26" s="1" cm="1">
        <f t="array" ref="X26">Comm_MCS_ModOrd(X16,X17)</f>
        <v>8</v>
      </c>
      <c r="Y26" s="1" cm="1">
        <f t="array" ref="Y26">Comm_MCS_ModOrd(Y16,Y17)</f>
        <v>8</v>
      </c>
      <c r="Z26" s="28" cm="1">
        <f t="array" ref="Z26">Comm_MCS_ModOrd(Z16,Z17)</f>
        <v>8</v>
      </c>
      <c r="AA26" s="1" cm="1">
        <f t="array" ref="AA26">Comm_MCS_ModOrd(AA16,AA17)</f>
        <v>8</v>
      </c>
      <c r="AB26" s="1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1" cm="1">
        <f t="array" ref="AE26">Comm_MCS_ModOrd(AE16,AE17)</f>
        <v>8</v>
      </c>
      <c r="AF26" s="28" cm="1">
        <f t="array" ref="AF26">Comm_MCS_ModOrd(AF16,AF17)</f>
        <v>8</v>
      </c>
      <c r="AG26" s="1" cm="1">
        <f t="array" ref="AG26">Comm_MCS_ModOrd(AG16,AG17)</f>
        <v>8</v>
      </c>
      <c r="AH26" s="1" cm="1">
        <f t="array" ref="AH26">Comm_MCS_ModOrd(AH16,AH17)</f>
        <v>8</v>
      </c>
      <c r="AI26" s="1" cm="1">
        <f t="array" ref="AI26">Comm_MCS_ModOrd(AI16,AI17)</f>
        <v>8</v>
      </c>
      <c r="AJ26" s="1" cm="1">
        <f t="array" ref="AJ26">Comm_MCS_ModOrd(AJ16,AJ17)</f>
        <v>8</v>
      </c>
      <c r="AK26" s="1" cm="1">
        <f t="array" ref="AK26">Comm_MCS_ModOrd(AK16,AK17)</f>
        <v>8</v>
      </c>
      <c r="AL26" s="28" cm="1">
        <f t="array" ref="AL26">Comm_MCS_ModOrd(AL16,AL17)</f>
        <v>8</v>
      </c>
      <c r="AM26" s="1" cm="1">
        <f t="array" ref="AM26">Comm_MCS_ModOrd(AM16,AM17)</f>
        <v>8</v>
      </c>
      <c r="AN26" s="1" cm="1">
        <f t="array" ref="AN26">Comm_MCS_ModOrd(AN16,AN17)</f>
        <v>8</v>
      </c>
      <c r="AO26" s="1" cm="1">
        <f t="array" ref="AO26">Comm_MCS_ModOrd(AO16,AO17)</f>
        <v>8</v>
      </c>
      <c r="AP26" s="1" cm="1">
        <f t="array" ref="AP26">Comm_MCS_ModOrd(AP16,AP17)</f>
        <v>8</v>
      </c>
      <c r="AQ26" s="28" cm="1">
        <f t="array" ref="AQ26">Comm_MCS_ModOrd(AQ16,AQ17)</f>
        <v>8</v>
      </c>
      <c r="AR26" s="1" cm="1">
        <f t="array" ref="AR26">Comm_MCS_ModOrd(AR16,AR17)</f>
        <v>8</v>
      </c>
      <c r="AS26" s="1" cm="1">
        <f t="array" ref="AS26">Comm_MCS_ModOrd(AS16,AS17)</f>
        <v>8</v>
      </c>
      <c r="AT26" s="1" cm="1">
        <f t="array" ref="AT26">Comm_MCS_ModOrd(AT16,AT17)</f>
        <v>8</v>
      </c>
      <c r="AU26" s="1" cm="1">
        <f t="array" ref="AU26">Comm_MCS_ModOrd(AU16,AU17)</f>
        <v>8</v>
      </c>
      <c r="AV26" s="28" cm="1">
        <f t="array" ref="AV26">Comm_MCS_ModOrd(AV16,AV17)</f>
        <v>8</v>
      </c>
      <c r="AW26" s="1" cm="1">
        <f t="array" ref="AW26">Comm_MCS_ModOrd(AW16,AW17)</f>
        <v>8</v>
      </c>
      <c r="AX26" s="1" cm="1">
        <f t="array" ref="AX26">Comm_MCS_ModOrd(AX16,AX17)</f>
        <v>8</v>
      </c>
      <c r="AY26" s="1" cm="1">
        <f t="array" ref="AY26">Comm_MCS_ModOrd(AY16,AY17)</f>
        <v>8</v>
      </c>
      <c r="AZ26" s="1" cm="1">
        <f t="array" ref="AZ26">Comm_MCS_ModOrd(AZ16,AZ17)</f>
        <v>8</v>
      </c>
      <c r="BA26" s="1" cm="1">
        <f t="array" ref="BA26">Comm_MCS_ModOrd(BA16,BA17)</f>
        <v>8</v>
      </c>
      <c r="BB26" s="28" cm="1">
        <f t="array" ref="BB26">Comm_MCS_ModOrd(BB16,BB17)</f>
        <v>8</v>
      </c>
      <c r="BC26" s="1" cm="1">
        <f t="array" ref="BC26">Comm_MCS_ModOrd(BC16,BC17)</f>
        <v>8</v>
      </c>
      <c r="BD26" s="1" cm="1">
        <f t="array" ref="BD26">Comm_MCS_ModOrd(BD16,BD17)</f>
        <v>8</v>
      </c>
      <c r="BE26" s="1" cm="1">
        <f t="array" ref="BE26">Comm_MCS_ModOrd(BE16,BE17)</f>
        <v>8</v>
      </c>
      <c r="BF26" s="1" cm="1">
        <f t="array" ref="BF26">Comm_MCS_ModOrd(BF16,BF17)</f>
        <v>8</v>
      </c>
      <c r="BG26" s="1" cm="1">
        <f t="array" ref="BG26">Comm_MCS_ModOrd(BG16,BG17)</f>
        <v>8</v>
      </c>
      <c r="BH26" s="28" cm="1">
        <f t="array" ref="BH26">Comm_MCS_ModOrd(BH16,BH17)</f>
        <v>8</v>
      </c>
      <c r="BI26" s="1" cm="1">
        <f t="array" ref="BI26">Comm_MCS_ModOrd(BI16,BI17)</f>
        <v>8</v>
      </c>
      <c r="BJ26" s="1" cm="1">
        <f t="array" ref="BJ26">Comm_MCS_ModOrd(BJ16,BJ17)</f>
        <v>8</v>
      </c>
      <c r="BK26" s="1" cm="1">
        <f t="array" ref="BK26">Comm_MCS_ModOrd(BK16,BK17)</f>
        <v>8</v>
      </c>
      <c r="BL26" s="1" cm="1">
        <f t="array" ref="BL26">Comm_MCS_ModOrd(BL16,BL17)</f>
        <v>8</v>
      </c>
      <c r="BM26" s="28" cm="1">
        <f t="array" ref="BM26">Comm_MCS_ModOrd(BM16,BM17)</f>
        <v>8</v>
      </c>
      <c r="BN26" s="1" cm="1">
        <f t="array" ref="BN26">Comm_MCS_ModOrd(BN16,BN17)</f>
        <v>8</v>
      </c>
      <c r="BO26" s="1" cm="1">
        <f t="array" ref="BO26">Comm_MCS_ModOrd(BO16,BO17)</f>
        <v>8</v>
      </c>
      <c r="BP26" s="1" cm="1">
        <f t="array" ref="BP26">Comm_MCS_ModOrd(BP16,BP17)</f>
        <v>8</v>
      </c>
      <c r="BQ26" s="1" cm="1">
        <f t="array" ref="BQ26">Comm_MCS_ModOrd(BQ16,BQ17)</f>
        <v>8</v>
      </c>
    </row>
    <row r="27" spans="2:69" x14ac:dyDescent="0.35">
      <c r="B27" s="8" t="s">
        <v>30</v>
      </c>
      <c r="C27" s="1"/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1" cm="1">
        <f t="array" ref="I27">Comm_MCS_CodeRate(I16,I17)</f>
        <v>948</v>
      </c>
      <c r="J27" s="28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" cm="1">
        <f t="array" ref="O27">Comm_MCS_CodeRate(O16,O17)</f>
        <v>948</v>
      </c>
      <c r="P27" s="28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" cm="1">
        <f t="array" ref="S27">Comm_MCS_CodeRate(S16,S17)</f>
        <v>948</v>
      </c>
      <c r="T27" s="1" cm="1">
        <f t="array" ref="T27">Comm_MCS_CodeRate(T16,T17)</f>
        <v>948</v>
      </c>
      <c r="U27" s="28" cm="1">
        <f t="array" ref="U27">Comm_MCS_CodeRate(U16,U17)</f>
        <v>948</v>
      </c>
      <c r="V27" s="1" cm="1">
        <f t="array" ref="V27">Comm_MCS_CodeRate(V16,V17)</f>
        <v>948</v>
      </c>
      <c r="W27" s="1" cm="1">
        <f t="array" ref="W27">Comm_MCS_CodeRate(W16,W17)</f>
        <v>948</v>
      </c>
      <c r="X27" s="1" cm="1">
        <f t="array" ref="X27">Comm_MCS_CodeRate(X16,X17)</f>
        <v>948</v>
      </c>
      <c r="Y27" s="1" cm="1">
        <f t="array" ref="Y27">Comm_MCS_CodeRate(Y16,Y17)</f>
        <v>948</v>
      </c>
      <c r="Z27" s="28" cm="1">
        <f t="array" ref="Z27">Comm_MCS_CodeRate(Z16,Z17)</f>
        <v>948</v>
      </c>
      <c r="AA27" s="1" cm="1">
        <f t="array" ref="AA27">Comm_MCS_CodeRate(AA16,AA17)</f>
        <v>948</v>
      </c>
      <c r="AB27" s="1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1" cm="1">
        <f t="array" ref="AE27">Comm_MCS_CodeRate(AE16,AE17)</f>
        <v>948</v>
      </c>
      <c r="AF27" s="28" cm="1">
        <f t="array" ref="AF27">Comm_MCS_CodeRate(AF16,AF17)</f>
        <v>948</v>
      </c>
      <c r="AG27" s="1" cm="1">
        <f t="array" ref="AG27">Comm_MCS_CodeRate(AG16,AG17)</f>
        <v>948</v>
      </c>
      <c r="AH27" s="1" cm="1">
        <f t="array" ref="AH27">Comm_MCS_CodeRate(AH16,AH17)</f>
        <v>948</v>
      </c>
      <c r="AI27" s="1" cm="1">
        <f t="array" ref="AI27">Comm_MCS_CodeRate(AI16,AI17)</f>
        <v>948</v>
      </c>
      <c r="AJ27" s="1" cm="1">
        <f t="array" ref="AJ27">Comm_MCS_CodeRate(AJ16,AJ17)</f>
        <v>948</v>
      </c>
      <c r="AK27" s="1" cm="1">
        <f t="array" ref="AK27">Comm_MCS_CodeRate(AK16,AK17)</f>
        <v>948</v>
      </c>
      <c r="AL27" s="28" cm="1">
        <f t="array" ref="AL27">Comm_MCS_CodeRate(AL16,AL17)</f>
        <v>948</v>
      </c>
      <c r="AM27" s="1" cm="1">
        <f t="array" ref="AM27">Comm_MCS_CodeRate(AM16,AM17)</f>
        <v>948</v>
      </c>
      <c r="AN27" s="1" cm="1">
        <f t="array" ref="AN27">Comm_MCS_CodeRate(AN16,AN17)</f>
        <v>948</v>
      </c>
      <c r="AO27" s="1" cm="1">
        <f t="array" ref="AO27">Comm_MCS_CodeRate(AO16,AO17)</f>
        <v>948</v>
      </c>
      <c r="AP27" s="1" cm="1">
        <f t="array" ref="AP27">Comm_MCS_CodeRate(AP16,AP17)</f>
        <v>948</v>
      </c>
      <c r="AQ27" s="28" cm="1">
        <f t="array" ref="AQ27">Comm_MCS_CodeRate(AQ16,AQ17)</f>
        <v>948</v>
      </c>
      <c r="AR27" s="1" cm="1">
        <f t="array" ref="AR27">Comm_MCS_CodeRate(AR16,AR17)</f>
        <v>948</v>
      </c>
      <c r="AS27" s="1" cm="1">
        <f t="array" ref="AS27">Comm_MCS_CodeRate(AS16,AS17)</f>
        <v>948</v>
      </c>
      <c r="AT27" s="1" cm="1">
        <f t="array" ref="AT27">Comm_MCS_CodeRate(AT16,AT17)</f>
        <v>948</v>
      </c>
      <c r="AU27" s="1" cm="1">
        <f t="array" ref="AU27">Comm_MCS_CodeRate(AU16,AU17)</f>
        <v>948</v>
      </c>
      <c r="AV27" s="28" cm="1">
        <f t="array" ref="AV27">Comm_MCS_CodeRate(AV16,AV17)</f>
        <v>948</v>
      </c>
      <c r="AW27" s="1" cm="1">
        <f t="array" ref="AW27">Comm_MCS_CodeRate(AW16,AW17)</f>
        <v>948</v>
      </c>
      <c r="AX27" s="1" cm="1">
        <f t="array" ref="AX27">Comm_MCS_CodeRate(AX16,AX17)</f>
        <v>948</v>
      </c>
      <c r="AY27" s="1" cm="1">
        <f t="array" ref="AY27">Comm_MCS_CodeRate(AY16,AY17)</f>
        <v>948</v>
      </c>
      <c r="AZ27" s="1" cm="1">
        <f t="array" ref="AZ27">Comm_MCS_CodeRate(AZ16,AZ17)</f>
        <v>948</v>
      </c>
      <c r="BA27" s="1" cm="1">
        <f t="array" ref="BA27">Comm_MCS_CodeRate(BA16,BA17)</f>
        <v>948</v>
      </c>
      <c r="BB27" s="28" cm="1">
        <f t="array" ref="BB27">Comm_MCS_CodeRate(BB16,BB17)</f>
        <v>948</v>
      </c>
      <c r="BC27" s="1" cm="1">
        <f t="array" ref="BC27">Comm_MCS_CodeRate(BC16,BC17)</f>
        <v>948</v>
      </c>
      <c r="BD27" s="1" cm="1">
        <f t="array" ref="BD27">Comm_MCS_CodeRate(BD16,BD17)</f>
        <v>948</v>
      </c>
      <c r="BE27" s="1" cm="1">
        <f t="array" ref="BE27">Comm_MCS_CodeRate(BE16,BE17)</f>
        <v>948</v>
      </c>
      <c r="BF27" s="1" cm="1">
        <f t="array" ref="BF27">Comm_MCS_CodeRate(BF16,BF17)</f>
        <v>948</v>
      </c>
      <c r="BG27" s="1" cm="1">
        <f t="array" ref="BG27">Comm_MCS_CodeRate(BG16,BG17)</f>
        <v>948</v>
      </c>
      <c r="BH27" s="28" cm="1">
        <f t="array" ref="BH27">Comm_MCS_CodeRate(BH16,BH17)</f>
        <v>948</v>
      </c>
      <c r="BI27" s="1" cm="1">
        <f t="array" ref="BI27">Comm_MCS_CodeRate(BI16,BI17)</f>
        <v>948</v>
      </c>
      <c r="BJ27" s="1" cm="1">
        <f t="array" ref="BJ27">Comm_MCS_CodeRate(BJ16,BJ17)</f>
        <v>948</v>
      </c>
      <c r="BK27" s="1" cm="1">
        <f t="array" ref="BK27">Comm_MCS_CodeRate(BK16,BK17)</f>
        <v>948</v>
      </c>
      <c r="BL27" s="1" cm="1">
        <f t="array" ref="BL27">Comm_MCS_CodeRate(BL16,BL17)</f>
        <v>948</v>
      </c>
      <c r="BM27" s="28" cm="1">
        <f t="array" ref="BM27">Comm_MCS_CodeRate(BM16,BM17)</f>
        <v>948</v>
      </c>
      <c r="BN27" s="1" cm="1">
        <f t="array" ref="BN27">Comm_MCS_CodeRate(BN16,BN17)</f>
        <v>948</v>
      </c>
      <c r="BO27" s="1" cm="1">
        <f t="array" ref="BO27">Comm_MCS_CodeRate(BO16,BO17)</f>
        <v>948</v>
      </c>
      <c r="BP27" s="1" cm="1">
        <f t="array" ref="BP27">Comm_MCS_CodeRate(BP16,BP17)</f>
        <v>948</v>
      </c>
      <c r="BQ27" s="1" cm="1">
        <f t="array" ref="BQ27">Comm_MCS_CodeRate(BQ16,BQ17)</f>
        <v>948</v>
      </c>
    </row>
    <row r="28" spans="2:69" x14ac:dyDescent="0.35">
      <c r="B28" s="9" t="s">
        <v>31</v>
      </c>
      <c r="C28" s="1"/>
      <c r="D28" s="28" cm="1">
        <f t="array" ref="D28">Comm_Z(D11,D26,D27,D12,D13,D10/D18)</f>
        <v>320</v>
      </c>
      <c r="E28" s="1" cm="1">
        <f t="array" ref="E28">Comm_Z(E11,E26,E27,E12,E13,E10/E18)</f>
        <v>320</v>
      </c>
      <c r="F28" s="1" cm="1">
        <f t="array" ref="F28">Comm_Z(F11,F26,F27,F12,F13,F10/F18)</f>
        <v>320</v>
      </c>
      <c r="G28" s="1" cm="1">
        <f t="array" ref="G28">Comm_Z(G11,G26,G27,G12,G13,G10/G18)</f>
        <v>320</v>
      </c>
      <c r="H28" s="1" cm="1">
        <f t="array" ref="H28">Comm_Z(H11,H26,H27,H12,H13,H10/H18)</f>
        <v>320</v>
      </c>
      <c r="I28" s="1" cm="1">
        <f t="array" ref="I28">Comm_Z(I11,I26,I27,I12,I13,I10/I18)</f>
        <v>320</v>
      </c>
      <c r="J28" s="28" cm="1">
        <f t="array" ref="J28">Comm_Z(J11,J26,J27,J12,J13,J10/J18)</f>
        <v>224</v>
      </c>
      <c r="K28" s="1" cm="1">
        <f t="array" ref="K28">Comm_Z(K11,K26,K27,K12,K13,K10/K18)</f>
        <v>224</v>
      </c>
      <c r="L28" s="1" cm="1">
        <f t="array" ref="L28">Comm_Z(L11,L26,L27,L12,L13,L10/L18)</f>
        <v>224</v>
      </c>
      <c r="M28" s="1" cm="1">
        <f t="array" ref="M28">Comm_Z(M11,M26,M27,M12,M13,M10/M18)</f>
        <v>224</v>
      </c>
      <c r="N28" s="1" cm="1">
        <f t="array" ref="N28">Comm_Z(N11,N26,N27,N12,N13,N10/N18)</f>
        <v>224</v>
      </c>
      <c r="O28" s="1" cm="1">
        <f t="array" ref="O28">Comm_Z(O11,O26,O27,O12,O13,O10/O18)</f>
        <v>224</v>
      </c>
      <c r="P28" s="28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" cm="1">
        <f t="array" ref="S28">Comm_Z(S11,S26,S27,S12,S13,S10/S18)</f>
        <v>384</v>
      </c>
      <c r="T28" s="1" cm="1">
        <f t="array" ref="T28">Comm_Z(T11,T26,T27,T12,T13,T10/T18)</f>
        <v>384</v>
      </c>
      <c r="U28" s="28" cm="1">
        <f t="array" ref="U28">Comm_Z(U11,U26,U27,U12,U13,U10/U18)</f>
        <v>288</v>
      </c>
      <c r="V28" s="1" cm="1">
        <f t="array" ref="V28">Comm_Z(V11,V26,V27,V12,V13,V10/V18)</f>
        <v>288</v>
      </c>
      <c r="W28" s="1" cm="1">
        <f t="array" ref="W28">Comm_Z(W11,W26,W27,W12,W13,W10/W18)</f>
        <v>288</v>
      </c>
      <c r="X28" s="1" cm="1">
        <f t="array" ref="X28">Comm_Z(X11,X26,X27,X12,X13,X10/X18)</f>
        <v>288</v>
      </c>
      <c r="Y28" s="1" cm="1">
        <f t="array" ref="Y28">Comm_Z(Y11,Y26,Y27,Y12,Y13,Y10/Y18)</f>
        <v>288</v>
      </c>
      <c r="Z28" s="28" cm="1">
        <f t="array" ref="Z28">Comm_Z(Z11,Z26,Z27,Z12,Z13,Z10/Z18)</f>
        <v>352</v>
      </c>
      <c r="AA28" s="1" cm="1">
        <f t="array" ref="AA28">Comm_Z(AA11,AA26,AA27,AA12,AA13,AA10/AA18)</f>
        <v>352</v>
      </c>
      <c r="AB28" s="1" cm="1">
        <f t="array" ref="AB28">Comm_Z(AB11,AB26,AB27,AB12,AB13,AB10/AB18)</f>
        <v>352</v>
      </c>
      <c r="AC28" s="1" cm="1">
        <f t="array" ref="AC28">Comm_Z(AC11,AC26,AC27,AC12,AC13,AC10/AC18)</f>
        <v>352</v>
      </c>
      <c r="AD28" s="1" cm="1">
        <f t="array" ref="AD28">Comm_Z(AD11,AD26,AD27,AD12,AD13,AD10/AD18)</f>
        <v>352</v>
      </c>
      <c r="AE28" s="1" cm="1">
        <f t="array" ref="AE28">Comm_Z(AE11,AE26,AE27,AE12,AE13,AE10/AE18)</f>
        <v>352</v>
      </c>
      <c r="AF28" s="28" cm="1">
        <f t="array" ref="AF28">Comm_Z(AF11,AF26,AF27,AF12,AF13,AF10/AF18)</f>
        <v>320</v>
      </c>
      <c r="AG28" s="1" cm="1">
        <f t="array" ref="AG28">Comm_Z(AG11,AG26,AG27,AG12,AG13,AG10/AG18)</f>
        <v>320</v>
      </c>
      <c r="AH28" s="1" cm="1">
        <f t="array" ref="AH28">Comm_Z(AH11,AH26,AH27,AH12,AH13,AH10/AH18)</f>
        <v>320</v>
      </c>
      <c r="AI28" s="1" cm="1">
        <f t="array" ref="AI28">Comm_Z(AI11,AI26,AI27,AI12,AI13,AI10/AI18)</f>
        <v>320</v>
      </c>
      <c r="AJ28" s="1" cm="1">
        <f t="array" ref="AJ28">Comm_Z(AJ11,AJ26,AJ27,AJ12,AJ13,AJ10/AJ18)</f>
        <v>320</v>
      </c>
      <c r="AK28" s="1" cm="1">
        <f t="array" ref="AK28">Comm_Z(AK11,AK26,AK27,AK12,AK13,AK10/AK18)</f>
        <v>320</v>
      </c>
      <c r="AL28" s="28" cm="1">
        <f t="array" ref="AL28">Comm_Z(AL11,AL26,AL27,AL12,AL13,AL10/AL18)</f>
        <v>288</v>
      </c>
      <c r="AM28" s="1" cm="1">
        <f t="array" ref="AM28">Comm_Z(AM11,AM26,AM27,AM12,AM13,AM10/AM18)</f>
        <v>288</v>
      </c>
      <c r="AN28" s="1" cm="1">
        <f t="array" ref="AN28">Comm_Z(AN11,AN26,AN27,AN12,AN13,AN10/AN18)</f>
        <v>288</v>
      </c>
      <c r="AO28" s="1" cm="1">
        <f t="array" ref="AO28">Comm_Z(AO11,AO26,AO27,AO12,AO13,AO10/AO18)</f>
        <v>288</v>
      </c>
      <c r="AP28" s="1" cm="1">
        <f t="array" ref="AP28">Comm_Z(AP11,AP26,AP27,AP12,AP13,AP10/AP18)</f>
        <v>288</v>
      </c>
      <c r="AQ28" s="28" cm="1">
        <f t="array" ref="AQ28">Comm_Z(AQ11,AQ26,AQ27,AQ12,AQ13,AQ10/AQ18)</f>
        <v>384</v>
      </c>
      <c r="AR28" s="1" cm="1">
        <f t="array" ref="AR28">Comm_Z(AR11,AR26,AR27,AR12,AR13,AR10/AR18)</f>
        <v>384</v>
      </c>
      <c r="AS28" s="1" cm="1">
        <f t="array" ref="AS28">Comm_Z(AS11,AS26,AS27,AS12,AS13,AS10/AS18)</f>
        <v>384</v>
      </c>
      <c r="AT28" s="1" cm="1">
        <f t="array" ref="AT28">Comm_Z(AT11,AT26,AT27,AT12,AT13,AT10/AT18)</f>
        <v>384</v>
      </c>
      <c r="AU28" s="1" cm="1">
        <f t="array" ref="AU28">Comm_Z(AU11,AU26,AU27,AU12,AU13,AU10/AU18)</f>
        <v>384</v>
      </c>
      <c r="AV28" s="28" cm="1">
        <f t="array" ref="AV28">Comm_Z(AV11,AV26,AV27,AV12,AV13,AV10/AV18)</f>
        <v>224</v>
      </c>
      <c r="AW28" s="1" cm="1">
        <f t="array" ref="AW28">Comm_Z(AW11,AW26,AW27,AW12,AW13,AW10/AW18)</f>
        <v>224</v>
      </c>
      <c r="AX28" s="1" cm="1">
        <f t="array" ref="AX28">Comm_Z(AX11,AX26,AX27,AX12,AX13,AX10/AX18)</f>
        <v>224</v>
      </c>
      <c r="AY28" s="1" cm="1">
        <f t="array" ref="AY28">Comm_Z(AY11,AY26,AY27,AY12,AY13,AY10/AY18)</f>
        <v>224</v>
      </c>
      <c r="AZ28" s="1" cm="1">
        <f t="array" ref="AZ28">Comm_Z(AZ11,AZ26,AZ27,AZ12,AZ13,AZ10/AZ18)</f>
        <v>224</v>
      </c>
      <c r="BA28" s="1" cm="1">
        <f t="array" ref="BA28">Comm_Z(BA11,BA26,BA27,BA12,BA13,BA10/BA18)</f>
        <v>224</v>
      </c>
      <c r="BB28" s="28" cm="1">
        <f t="array" ref="BB28">Comm_Z(BB11,BB26,BB27,BB12,BB13,BB10/BB18)</f>
        <v>224</v>
      </c>
      <c r="BC28" s="1" cm="1">
        <f t="array" ref="BC28">Comm_Z(BC11,BC26,BC27,BC12,BC13,BC10/BC18)</f>
        <v>224</v>
      </c>
      <c r="BD28" s="1" cm="1">
        <f t="array" ref="BD28">Comm_Z(BD11,BD26,BD27,BD12,BD13,BD10/BD18)</f>
        <v>224</v>
      </c>
      <c r="BE28" s="1" cm="1">
        <f t="array" ref="BE28">Comm_Z(BE11,BE26,BE27,BE12,BE13,BE10/BE18)</f>
        <v>224</v>
      </c>
      <c r="BF28" s="1" cm="1">
        <f t="array" ref="BF28">Comm_Z(BF11,BF26,BF27,BF12,BF13,BF10/BF18)</f>
        <v>224</v>
      </c>
      <c r="BG28" s="1" cm="1">
        <f t="array" ref="BG28">Comm_Z(BG11,BG26,BG27,BG12,BG13,BG10/BG18)</f>
        <v>224</v>
      </c>
      <c r="BH28" s="28" cm="1">
        <f t="array" ref="BH28">Comm_Z(BH11,BH26,BH27,BH12,BH13,BH10/BH18)</f>
        <v>288</v>
      </c>
      <c r="BI28" s="1" cm="1">
        <f t="array" ref="BI28">Comm_Z(BI11,BI26,BI27,BI12,BI13,BI10/BI18)</f>
        <v>288</v>
      </c>
      <c r="BJ28" s="1" cm="1">
        <f t="array" ref="BJ28">Comm_Z(BJ11,BJ26,BJ27,BJ12,BJ13,BJ10/BJ18)</f>
        <v>288</v>
      </c>
      <c r="BK28" s="1" cm="1">
        <f t="array" ref="BK28">Comm_Z(BK11,BK26,BK27,BK12,BK13,BK10/BK18)</f>
        <v>288</v>
      </c>
      <c r="BL28" s="1" cm="1">
        <f t="array" ref="BL28">Comm_Z(BL11,BL26,BL27,BL12,BL13,BL10/BL18)</f>
        <v>288</v>
      </c>
      <c r="BM28" s="28" cm="1">
        <f t="array" ref="BM28">Comm_Z(BM11,BM26,BM27,BM12,BM13,BM10/BM18)</f>
        <v>288</v>
      </c>
      <c r="BN28" s="1" cm="1">
        <f t="array" ref="BN28">Comm_Z(BN11,BN26,BN27,BN12,BN13,BN10/BN18)</f>
        <v>288</v>
      </c>
      <c r="BO28" s="1" cm="1">
        <f t="array" ref="BO28">Comm_Z(BO11,BO26,BO27,BO12,BO13,BO10/BO18)</f>
        <v>288</v>
      </c>
      <c r="BP28" s="1" cm="1">
        <f t="array" ref="BP28">Comm_Z(BP11,BP26,BP27,BP12,BP13,BP10/BP18)</f>
        <v>288</v>
      </c>
      <c r="BQ28" s="1" cm="1">
        <f t="array" ref="BQ28">Comm_Z(BQ11,BQ26,BQ27,BQ12,BQ13,BQ10/BQ18)</f>
        <v>288</v>
      </c>
    </row>
    <row r="29" spans="2:69" x14ac:dyDescent="0.35">
      <c r="B29" s="9" t="s">
        <v>32</v>
      </c>
      <c r="C29" s="1"/>
      <c r="D29" s="28" cm="1">
        <f t="array" ref="D29">Comm_TBS(D11,D26,D27,D12,D13,D10/D18)</f>
        <v>19464</v>
      </c>
      <c r="E29" s="1" cm="1">
        <f t="array" ref="E29">Comm_TBS(E11,E26,E27,E12,E13,E10/E18)</f>
        <v>19464</v>
      </c>
      <c r="F29" s="1" cm="1">
        <f t="array" ref="F29">Comm_TBS(F11,F26,F27,F12,F13,F10/F18)</f>
        <v>19464</v>
      </c>
      <c r="G29" s="1" cm="1">
        <f t="array" ref="G29">Comm_TBS(G11,G26,G27,G12,G13,G10/G18)</f>
        <v>19464</v>
      </c>
      <c r="H29" s="1" cm="1">
        <f t="array" ref="H29">Comm_TBS(H11,H26,H27,H12,H13,H10/H18)</f>
        <v>19464</v>
      </c>
      <c r="I29" s="1" cm="1">
        <f t="array" ref="I29">Comm_TBS(I11,I26,I27,I12,I13,I10/I18)</f>
        <v>19464</v>
      </c>
      <c r="J29" s="28" cm="1">
        <f t="array" ref="J29">Comm_TBS(J11,J26,J27,J12,J13,J10/J18)</f>
        <v>9224</v>
      </c>
      <c r="K29" s="1" cm="1">
        <f t="array" ref="K29">Comm_TBS(K11,K26,K27,K12,K13,K10/K18)</f>
        <v>9224</v>
      </c>
      <c r="L29" s="1" cm="1">
        <f t="array" ref="L29">Comm_TBS(L11,L26,L27,L12,L13,L10/L18)</f>
        <v>9224</v>
      </c>
      <c r="M29" s="1" cm="1">
        <f t="array" ref="M29">Comm_TBS(M11,M26,M27,M12,M13,M10/M18)</f>
        <v>9224</v>
      </c>
      <c r="N29" s="1" cm="1">
        <f t="array" ref="N29">Comm_TBS(N11,N26,N27,N12,N13,N10/N18)</f>
        <v>9224</v>
      </c>
      <c r="O29" s="1" cm="1">
        <f t="array" ref="O29">Comm_TBS(O11,O26,O27,O12,O13,O10/O18)</f>
        <v>9224</v>
      </c>
      <c r="P29" s="28" cm="1">
        <f t="array" ref="P29">Comm_TBS(P11,P26,P27,P12,P13,P10/P18)</f>
        <v>24072</v>
      </c>
      <c r="Q29" s="1" cm="1">
        <f t="array" ref="Q29">Comm_TBS(Q11,Q26,Q27,Q12,Q13,Q10/Q18)</f>
        <v>24072</v>
      </c>
      <c r="R29" s="1" cm="1">
        <f t="array" ref="R29">Comm_TBS(R11,R26,R27,R12,R13,R10/R18)</f>
        <v>24072</v>
      </c>
      <c r="S29" s="1" cm="1">
        <f t="array" ref="S29">Comm_TBS(S11,S26,S27,S12,S13,S10/S18)</f>
        <v>24072</v>
      </c>
      <c r="T29" s="1" cm="1">
        <f t="array" ref="T29">Comm_TBS(T11,T26,T27,T12,T13,T10/T18)</f>
        <v>24072</v>
      </c>
      <c r="U29" s="28" cm="1">
        <f t="array" ref="U29">Comm_TBS(U11,U26,U27,U12,U13,U10/U18)</f>
        <v>11528</v>
      </c>
      <c r="V29" s="1" cm="1">
        <f t="array" ref="V29">Comm_TBS(V11,V26,V27,V12,V13,V10/V18)</f>
        <v>11528</v>
      </c>
      <c r="W29" s="1" cm="1">
        <f t="array" ref="W29">Comm_TBS(W11,W26,W27,W12,W13,W10/W18)</f>
        <v>11528</v>
      </c>
      <c r="X29" s="1" cm="1">
        <f t="array" ref="X29">Comm_TBS(X11,X26,X27,X12,X13,X10/X18)</f>
        <v>11528</v>
      </c>
      <c r="Y29" s="1" cm="1">
        <f t="array" ref="Y29">Comm_TBS(Y11,Y26,Y27,Y12,Y13,Y10/Y18)</f>
        <v>11528</v>
      </c>
      <c r="Z29" s="28" cm="1">
        <f t="array" ref="Z29">Comm_TBS(Z11,Z26,Z27,Z12,Z13,Z10/Z18)</f>
        <v>15112</v>
      </c>
      <c r="AA29" s="1" cm="1">
        <f t="array" ref="AA29">Comm_TBS(AA11,AA26,AA27,AA12,AA13,AA10/AA18)</f>
        <v>15112</v>
      </c>
      <c r="AB29" s="1" cm="1">
        <f t="array" ref="AB29">Comm_TBS(AB11,AB26,AB27,AB12,AB13,AB10/AB18)</f>
        <v>15112</v>
      </c>
      <c r="AC29" s="1" cm="1">
        <f t="array" ref="AC29">Comm_TBS(AC11,AC26,AC27,AC12,AC13,AC10/AC18)</f>
        <v>15112</v>
      </c>
      <c r="AD29" s="1" cm="1">
        <f t="array" ref="AD29">Comm_TBS(AD11,AD26,AD27,AD12,AD13,AD10/AD18)</f>
        <v>15112</v>
      </c>
      <c r="AE29" s="1" cm="1">
        <f t="array" ref="AE29">Comm_TBS(AE11,AE26,AE27,AE12,AE13,AE10/AE18)</f>
        <v>15112</v>
      </c>
      <c r="AF29" s="28" cm="1">
        <f t="array" ref="AF29">Comm_TBS(AF11,AF26,AF27,AF12,AF13,AF10/AF18)</f>
        <v>6912</v>
      </c>
      <c r="AG29" s="1" cm="1">
        <f t="array" ref="AG29">Comm_TBS(AG11,AG26,AG27,AG12,AG13,AG10/AG18)</f>
        <v>6912</v>
      </c>
      <c r="AH29" s="1" cm="1">
        <f t="array" ref="AH29">Comm_TBS(AH11,AH26,AH27,AH12,AH13,AH10/AH18)</f>
        <v>6912</v>
      </c>
      <c r="AI29" s="1" cm="1">
        <f t="array" ref="AI29">Comm_TBS(AI11,AI26,AI27,AI12,AI13,AI10/AI18)</f>
        <v>6912</v>
      </c>
      <c r="AJ29" s="1" cm="1">
        <f t="array" ref="AJ29">Comm_TBS(AJ11,AJ26,AJ27,AJ12,AJ13,AJ10/AJ18)</f>
        <v>6912</v>
      </c>
      <c r="AK29" s="1" cm="1">
        <f t="array" ref="AK29">Comm_TBS(AK11,AK26,AK27,AK12,AK13,AK10/AK18)</f>
        <v>6912</v>
      </c>
      <c r="AL29" s="28" cm="1">
        <f t="array" ref="AL29">Comm_TBS(AL11,AL26,AL27,AL12,AL13,AL10/AL18)</f>
        <v>17424</v>
      </c>
      <c r="AM29" s="1" cm="1">
        <f t="array" ref="AM29">Comm_TBS(AM11,AM26,AM27,AM12,AM13,AM10/AM18)</f>
        <v>17424</v>
      </c>
      <c r="AN29" s="1" cm="1">
        <f t="array" ref="AN29">Comm_TBS(AN11,AN26,AN27,AN12,AN13,AN10/AN18)</f>
        <v>17424</v>
      </c>
      <c r="AO29" s="1" cm="1">
        <f t="array" ref="AO29">Comm_TBS(AO11,AO26,AO27,AO12,AO13,AO10/AO18)</f>
        <v>17424</v>
      </c>
      <c r="AP29" s="1" cm="1">
        <f t="array" ref="AP29">Comm_TBS(AP11,AP26,AP27,AP12,AP13,AP10/AP18)</f>
        <v>17424</v>
      </c>
      <c r="AQ29" s="28" cm="1">
        <f t="array" ref="AQ29">Comm_TBS(AQ11,AQ26,AQ27,AQ12,AQ13,AQ10/AQ18)</f>
        <v>8064</v>
      </c>
      <c r="AR29" s="1" cm="1">
        <f t="array" ref="AR29">Comm_TBS(AR11,AR26,AR27,AR12,AR13,AR10/AR18)</f>
        <v>8064</v>
      </c>
      <c r="AS29" s="1" cm="1">
        <f t="array" ref="AS29">Comm_TBS(AS11,AS26,AS27,AS12,AS13,AS10/AS18)</f>
        <v>8064</v>
      </c>
      <c r="AT29" s="1" cm="1">
        <f t="array" ref="AT29">Comm_TBS(AT11,AT26,AT27,AT12,AT13,AT10/AT18)</f>
        <v>8064</v>
      </c>
      <c r="AU29" s="1" cm="1">
        <f t="array" ref="AU29">Comm_TBS(AU11,AU26,AU27,AU12,AU13,AU10/AU18)</f>
        <v>8064</v>
      </c>
      <c r="AV29" s="28" cm="1">
        <f t="array" ref="AV29">Comm_TBS(AV11,AV26,AV27,AV12,AV13,AV10/AV18)</f>
        <v>9224</v>
      </c>
      <c r="AW29" s="1" cm="1">
        <f t="array" ref="AW29">Comm_TBS(AW11,AW26,AW27,AW12,AW13,AW10/AW18)</f>
        <v>9224</v>
      </c>
      <c r="AX29" s="1" cm="1">
        <f t="array" ref="AX29">Comm_TBS(AX11,AX26,AX27,AX12,AX13,AX10/AX18)</f>
        <v>9224</v>
      </c>
      <c r="AY29" s="1" cm="1">
        <f t="array" ref="AY29">Comm_TBS(AY11,AY26,AY27,AY12,AY13,AY10/AY18)</f>
        <v>9224</v>
      </c>
      <c r="AZ29" s="1" cm="1">
        <f t="array" ref="AZ29">Comm_TBS(AZ11,AZ26,AZ27,AZ12,AZ13,AZ10/AZ18)</f>
        <v>9224</v>
      </c>
      <c r="BA29" s="1" cm="1">
        <f t="array" ref="BA29">Comm_TBS(BA11,BA26,BA27,BA12,BA13,BA10/BA18)</f>
        <v>9224</v>
      </c>
      <c r="BB29" s="28" cm="1">
        <f t="array" ref="BB29">Comm_TBS(BB11,BB26,BB27,BB12,BB13,BB10/BB18)</f>
        <v>4608</v>
      </c>
      <c r="BC29" s="1" cm="1">
        <f t="array" ref="BC29">Comm_TBS(BC11,BC26,BC27,BC12,BC13,BC10/BC18)</f>
        <v>4608</v>
      </c>
      <c r="BD29" s="1" cm="1">
        <f t="array" ref="BD29">Comm_TBS(BD11,BD26,BD27,BD12,BD13,BD10/BD18)</f>
        <v>4608</v>
      </c>
      <c r="BE29" s="1" cm="1">
        <f t="array" ref="BE29">Comm_TBS(BE11,BE26,BE27,BE12,BE13,BE10/BE18)</f>
        <v>4608</v>
      </c>
      <c r="BF29" s="1" cm="1">
        <f t="array" ref="BF29">Comm_TBS(BF11,BF26,BF27,BF12,BF13,BF10/BF18)</f>
        <v>4608</v>
      </c>
      <c r="BG29" s="1" cm="1">
        <f t="array" ref="BG29">Comm_TBS(BG11,BG26,BG27,BG12,BG13,BG10/BG18)</f>
        <v>4608</v>
      </c>
      <c r="BH29" s="28" cm="1">
        <f t="array" ref="BH29">Comm_TBS(BH11,BH26,BH27,BH12,BH13,BH10/BH18)</f>
        <v>11528</v>
      </c>
      <c r="BI29" s="1" cm="1">
        <f t="array" ref="BI29">Comm_TBS(BI11,BI26,BI27,BI12,BI13,BI10/BI18)</f>
        <v>11528</v>
      </c>
      <c r="BJ29" s="1" cm="1">
        <f t="array" ref="BJ29">Comm_TBS(BJ11,BJ26,BJ27,BJ12,BJ13,BJ10/BJ18)</f>
        <v>11528</v>
      </c>
      <c r="BK29" s="1" cm="1">
        <f t="array" ref="BK29">Comm_TBS(BK11,BK26,BK27,BK12,BK13,BK10/BK18)</f>
        <v>11528</v>
      </c>
      <c r="BL29" s="1" cm="1">
        <f t="array" ref="BL29">Comm_TBS(BL11,BL26,BL27,BL12,BL13,BL10/BL18)</f>
        <v>11528</v>
      </c>
      <c r="BM29" s="28" cm="1">
        <f t="array" ref="BM29">Comm_TBS(BM11,BM26,BM27,BM12,BM13,BM10/BM18)</f>
        <v>5760</v>
      </c>
      <c r="BN29" s="1" cm="1">
        <f t="array" ref="BN29">Comm_TBS(BN11,BN26,BN27,BN12,BN13,BN10/BN18)</f>
        <v>5760</v>
      </c>
      <c r="BO29" s="1" cm="1">
        <f t="array" ref="BO29">Comm_TBS(BO11,BO26,BO27,BO12,BO13,BO10/BO18)</f>
        <v>5760</v>
      </c>
      <c r="BP29" s="1" cm="1">
        <f t="array" ref="BP29">Comm_TBS(BP11,BP26,BP27,BP12,BP13,BP10/BP18)</f>
        <v>5760</v>
      </c>
      <c r="BQ29" s="1" cm="1">
        <f t="array" ref="BQ29">Comm_TBS(BQ11,BQ26,BQ27,BQ12,BQ13,BQ10/BQ18)</f>
        <v>5760</v>
      </c>
    </row>
    <row r="30" spans="2:69" x14ac:dyDescent="0.35">
      <c r="B30" s="9" t="s">
        <v>33</v>
      </c>
      <c r="C30" s="1"/>
      <c r="D30" s="28" cm="1">
        <f t="array" ref="D30">Comm_CB(D11,D26,D27,D12,D13,D10/D18)</f>
        <v>3</v>
      </c>
      <c r="E30" s="1" cm="1">
        <f t="array" ref="E30">Comm_CB(E11,E26,E27,E12,E13,E10/E18)</f>
        <v>3</v>
      </c>
      <c r="F30" s="1" cm="1">
        <f t="array" ref="F30">Comm_CB(F11,F26,F27,F12,F13,F10/F18)</f>
        <v>3</v>
      </c>
      <c r="G30" s="1" cm="1">
        <f t="array" ref="G30">Comm_CB(G11,G26,G27,G12,G13,G10/G18)</f>
        <v>3</v>
      </c>
      <c r="H30" s="1" cm="1">
        <f t="array" ref="H30">Comm_CB(H11,H26,H27,H12,H13,H10/H18)</f>
        <v>3</v>
      </c>
      <c r="I30" s="1" cm="1">
        <f t="array" ref="I30">Comm_CB(I11,I26,I27,I12,I13,I10/I18)</f>
        <v>3</v>
      </c>
      <c r="J30" s="28" cm="1">
        <f t="array" ref="J30">Comm_CB(J11,J26,J27,J12,J13,J10/J18)</f>
        <v>2</v>
      </c>
      <c r="K30" s="1" cm="1">
        <f t="array" ref="K30">Comm_CB(K11,K26,K27,K12,K13,K10/K18)</f>
        <v>2</v>
      </c>
      <c r="L30" s="1" cm="1">
        <f t="array" ref="L30">Comm_CB(L11,L26,L27,L12,L13,L10/L18)</f>
        <v>2</v>
      </c>
      <c r="M30" s="1" cm="1">
        <f t="array" ref="M30">Comm_CB(M11,M26,M27,M12,M13,M10/M18)</f>
        <v>2</v>
      </c>
      <c r="N30" s="1" cm="1">
        <f t="array" ref="N30">Comm_CB(N11,N26,N27,N12,N13,N10/N18)</f>
        <v>2</v>
      </c>
      <c r="O30" s="1" cm="1">
        <f t="array" ref="O30">Comm_CB(O11,O26,O27,O12,O13,O10/O18)</f>
        <v>2</v>
      </c>
      <c r="P30" s="28" cm="1">
        <f t="array" ref="P30">Comm_CB(P11,P26,P27,P12,P13,P10/P18)</f>
        <v>3</v>
      </c>
      <c r="Q30" s="1" cm="1">
        <f t="array" ref="Q30">Comm_CB(Q11,Q26,Q27,Q12,Q13,Q10/Q18)</f>
        <v>3</v>
      </c>
      <c r="R30" s="1" cm="1">
        <f t="array" ref="R30">Comm_CB(R11,R26,R27,R12,R13,R10/R18)</f>
        <v>3</v>
      </c>
      <c r="S30" s="1" cm="1">
        <f t="array" ref="S30">Comm_CB(S11,S26,S27,S12,S13,S10/S18)</f>
        <v>3</v>
      </c>
      <c r="T30" s="1" cm="1">
        <f t="array" ref="T30">Comm_CB(T11,T26,T27,T12,T13,T10/T18)</f>
        <v>3</v>
      </c>
      <c r="U30" s="28" cm="1">
        <f t="array" ref="U30">Comm_CB(U11,U26,U27,U12,U13,U10/U18)</f>
        <v>2</v>
      </c>
      <c r="V30" s="1" cm="1">
        <f t="array" ref="V30">Comm_CB(V11,V26,V27,V12,V13,V10/V18)</f>
        <v>2</v>
      </c>
      <c r="W30" s="1" cm="1">
        <f t="array" ref="W30">Comm_CB(W11,W26,W27,W12,W13,W10/W18)</f>
        <v>2</v>
      </c>
      <c r="X30" s="1" cm="1">
        <f t="array" ref="X30">Comm_CB(X11,X26,X27,X12,X13,X10/X18)</f>
        <v>2</v>
      </c>
      <c r="Y30" s="1" cm="1">
        <f t="array" ref="Y30">Comm_CB(Y11,Y26,Y27,Y12,Y13,Y10/Y18)</f>
        <v>2</v>
      </c>
      <c r="Z30" s="28" cm="1">
        <f t="array" ref="Z30">Comm_CB(Z11,Z26,Z27,Z12,Z13,Z10/Z18)</f>
        <v>2</v>
      </c>
      <c r="AA30" s="1" cm="1">
        <f t="array" ref="AA30">Comm_CB(AA11,AA26,AA27,AA12,AA13,AA10/AA18)</f>
        <v>2</v>
      </c>
      <c r="AB30" s="1" cm="1">
        <f t="array" ref="AB30">Comm_CB(AB11,AB26,AB27,AB12,AB13,AB10/AB18)</f>
        <v>2</v>
      </c>
      <c r="AC30" s="1" cm="1">
        <f t="array" ref="AC30">Comm_CB(AC11,AC26,AC27,AC12,AC13,AC10/AC18)</f>
        <v>2</v>
      </c>
      <c r="AD30" s="1" cm="1">
        <f t="array" ref="AD30">Comm_CB(AD11,AD26,AD27,AD12,AD13,AD10/AD18)</f>
        <v>2</v>
      </c>
      <c r="AE30" s="1" cm="1">
        <f t="array" ref="AE30">Comm_CB(AE11,AE26,AE27,AE12,AE13,AE10/AE18)</f>
        <v>2</v>
      </c>
      <c r="AF30" s="28" cm="1">
        <f t="array" ref="AF30">Comm_CB(AF11,AF26,AF27,AF12,AF13,AF10/AF18)</f>
        <v>1</v>
      </c>
      <c r="AG30" s="1" cm="1">
        <f t="array" ref="AG30">Comm_CB(AG11,AG26,AG27,AG12,AG13,AG10/AG18)</f>
        <v>1</v>
      </c>
      <c r="AH30" s="1" cm="1">
        <f t="array" ref="AH30">Comm_CB(AH11,AH26,AH27,AH12,AH13,AH10/AH18)</f>
        <v>1</v>
      </c>
      <c r="AI30" s="1" cm="1">
        <f t="array" ref="AI30">Comm_CB(AI11,AI26,AI27,AI12,AI13,AI10/AI18)</f>
        <v>1</v>
      </c>
      <c r="AJ30" s="1" cm="1">
        <f t="array" ref="AJ30">Comm_CB(AJ11,AJ26,AJ27,AJ12,AJ13,AJ10/AJ18)</f>
        <v>1</v>
      </c>
      <c r="AK30" s="1" cm="1">
        <f t="array" ref="AK30">Comm_CB(AK11,AK26,AK27,AK12,AK13,AK10/AK18)</f>
        <v>1</v>
      </c>
      <c r="AL30" s="28" cm="1">
        <f t="array" ref="AL30">Comm_CB(AL11,AL26,AL27,AL12,AL13,AL10/AL18)</f>
        <v>3</v>
      </c>
      <c r="AM30" s="1" cm="1">
        <f t="array" ref="AM30">Comm_CB(AM11,AM26,AM27,AM12,AM13,AM10/AM18)</f>
        <v>3</v>
      </c>
      <c r="AN30" s="1" cm="1">
        <f t="array" ref="AN30">Comm_CB(AN11,AN26,AN27,AN12,AN13,AN10/AN18)</f>
        <v>3</v>
      </c>
      <c r="AO30" s="1" cm="1">
        <f t="array" ref="AO30">Comm_CB(AO11,AO26,AO27,AO12,AO13,AO10/AO18)</f>
        <v>3</v>
      </c>
      <c r="AP30" s="1" cm="1">
        <f t="array" ref="AP30">Comm_CB(AP11,AP26,AP27,AP12,AP13,AP10/AP18)</f>
        <v>3</v>
      </c>
      <c r="AQ30" s="28" cm="1">
        <f t="array" ref="AQ30">Comm_CB(AQ11,AQ26,AQ27,AQ12,AQ13,AQ10/AQ18)</f>
        <v>1</v>
      </c>
      <c r="AR30" s="1" cm="1">
        <f t="array" ref="AR30">Comm_CB(AR11,AR26,AR27,AR12,AR13,AR10/AR18)</f>
        <v>1</v>
      </c>
      <c r="AS30" s="1" cm="1">
        <f t="array" ref="AS30">Comm_CB(AS11,AS26,AS27,AS12,AS13,AS10/AS18)</f>
        <v>1</v>
      </c>
      <c r="AT30" s="1" cm="1">
        <f t="array" ref="AT30">Comm_CB(AT11,AT26,AT27,AT12,AT13,AT10/AT18)</f>
        <v>1</v>
      </c>
      <c r="AU30" s="1" cm="1">
        <f t="array" ref="AU30">Comm_CB(AU11,AU26,AU27,AU12,AU13,AU10/AU18)</f>
        <v>1</v>
      </c>
      <c r="AV30" s="28" cm="1">
        <f t="array" ref="AV30">Comm_CB(AV11,AV26,AV27,AV12,AV13,AV10/AV18)</f>
        <v>2</v>
      </c>
      <c r="AW30" s="1" cm="1">
        <f t="array" ref="AW30">Comm_CB(AW11,AW26,AW27,AW12,AW13,AW10/AW18)</f>
        <v>2</v>
      </c>
      <c r="AX30" s="1" cm="1">
        <f t="array" ref="AX30">Comm_CB(AX11,AX26,AX27,AX12,AX13,AX10/AX18)</f>
        <v>2</v>
      </c>
      <c r="AY30" s="1" cm="1">
        <f t="array" ref="AY30">Comm_CB(AY11,AY26,AY27,AY12,AY13,AY10/AY18)</f>
        <v>2</v>
      </c>
      <c r="AZ30" s="1" cm="1">
        <f t="array" ref="AZ30">Comm_CB(AZ11,AZ26,AZ27,AZ12,AZ13,AZ10/AZ18)</f>
        <v>2</v>
      </c>
      <c r="BA30" s="1" cm="1">
        <f t="array" ref="BA30">Comm_CB(BA11,BA26,BA27,BA12,BA13,BA10/BA18)</f>
        <v>2</v>
      </c>
      <c r="BB30" s="28" cm="1">
        <f t="array" ref="BB30">Comm_CB(BB11,BB26,BB27,BB12,BB13,BB10/BB18)</f>
        <v>1</v>
      </c>
      <c r="BC30" s="1" cm="1">
        <f t="array" ref="BC30">Comm_CB(BC11,BC26,BC27,BC12,BC13,BC10/BC18)</f>
        <v>1</v>
      </c>
      <c r="BD30" s="1" cm="1">
        <f t="array" ref="BD30">Comm_CB(BD11,BD26,BD27,BD12,BD13,BD10/BD18)</f>
        <v>1</v>
      </c>
      <c r="BE30" s="1" cm="1">
        <f t="array" ref="BE30">Comm_CB(BE11,BE26,BE27,BE12,BE13,BE10/BE18)</f>
        <v>1</v>
      </c>
      <c r="BF30" s="1" cm="1">
        <f t="array" ref="BF30">Comm_CB(BF11,BF26,BF27,BF12,BF13,BF10/BF18)</f>
        <v>1</v>
      </c>
      <c r="BG30" s="1" cm="1">
        <f t="array" ref="BG30">Comm_CB(BG11,BG26,BG27,BG12,BG13,BG10/BG18)</f>
        <v>1</v>
      </c>
      <c r="BH30" s="28" cm="1">
        <f t="array" ref="BH30">Comm_CB(BH11,BH26,BH27,BH12,BH13,BH10/BH18)</f>
        <v>2</v>
      </c>
      <c r="BI30" s="1" cm="1">
        <f t="array" ref="BI30">Comm_CB(BI11,BI26,BI27,BI12,BI13,BI10/BI18)</f>
        <v>2</v>
      </c>
      <c r="BJ30" s="1" cm="1">
        <f t="array" ref="BJ30">Comm_CB(BJ11,BJ26,BJ27,BJ12,BJ13,BJ10/BJ18)</f>
        <v>2</v>
      </c>
      <c r="BK30" s="1" cm="1">
        <f t="array" ref="BK30">Comm_CB(BK11,BK26,BK27,BK12,BK13,BK10/BK18)</f>
        <v>2</v>
      </c>
      <c r="BL30" s="1" cm="1">
        <f t="array" ref="BL30">Comm_CB(BL11,BL26,BL27,BL12,BL13,BL10/BL18)</f>
        <v>2</v>
      </c>
      <c r="BM30" s="28" cm="1">
        <f t="array" ref="BM30">Comm_CB(BM11,BM26,BM27,BM12,BM13,BM10/BM18)</f>
        <v>1</v>
      </c>
      <c r="BN30" s="1" cm="1">
        <f t="array" ref="BN30">Comm_CB(BN11,BN26,BN27,BN12,BN13,BN10/BN18)</f>
        <v>1</v>
      </c>
      <c r="BO30" s="1" cm="1">
        <f t="array" ref="BO30">Comm_CB(BO11,BO26,BO27,BO12,BO13,BO10/BO18)</f>
        <v>1</v>
      </c>
      <c r="BP30" s="1" cm="1">
        <f t="array" ref="BP30">Comm_CB(BP11,BP26,BP27,BP12,BP13,BP10/BP18)</f>
        <v>1</v>
      </c>
      <c r="BQ30" s="1" cm="1">
        <f t="array" ref="BQ30">Comm_CB(BQ11,BQ26,BQ27,BQ12,BQ13,BQ10/BQ18)</f>
        <v>1</v>
      </c>
    </row>
    <row r="31" spans="2:69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0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0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31" cm="1">
        <f t="array" ref="S31">Comm_Parity_Nodes(S11,S26,S27,S12,S13,S10/S18)</f>
        <v>4</v>
      </c>
      <c r="T31" s="31" cm="1">
        <f t="array" ref="T31">Comm_Parity_Nodes(T11,T26,T27,T12,T13,T10/T18)</f>
        <v>4</v>
      </c>
      <c r="U31" s="30" cm="1">
        <f t="array" ref="U31">Comm_Parity_Nodes(U11,U26,U27,U12,U13,U10/U18)</f>
        <v>4</v>
      </c>
      <c r="V31" s="31" cm="1">
        <f t="array" ref="V31">Comm_Parity_Nodes(V11,V26,V27,V12,V13,V10/V18)</f>
        <v>4</v>
      </c>
      <c r="W31" s="31" cm="1">
        <f t="array" ref="W31">Comm_Parity_Nodes(W11,W26,W27,W12,W13,W10/W18)</f>
        <v>4</v>
      </c>
      <c r="X31" s="31" cm="1">
        <f t="array" ref="X31">Comm_Parity_Nodes(X11,X26,X27,X12,X13,X10/X18)</f>
        <v>4</v>
      </c>
      <c r="Y31" s="31" cm="1">
        <f t="array" ref="Y31">Comm_Parity_Nodes(Y11,Y26,Y27,Y12,Y13,Y10/Y18)</f>
        <v>4</v>
      </c>
      <c r="Z31" s="30" cm="1">
        <f t="array" ref="Z31">Comm_Parity_Nodes(Z11,Z26,Z27,Z12,Z13,Z10/Z18)</f>
        <v>4</v>
      </c>
      <c r="AA31" s="31" cm="1">
        <f t="array" ref="AA31">Comm_Parity_Nodes(AA11,AA26,AA27,AA12,AA13,AA10/AA18)</f>
        <v>4</v>
      </c>
      <c r="AB31" s="31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31" cm="1">
        <f t="array" ref="AE31">Comm_Parity_Nodes(AE11,AE26,AE27,AE12,AE13,AE10/AE18)</f>
        <v>4</v>
      </c>
      <c r="AF31" s="30" cm="1">
        <f t="array" ref="AF31">Comm_Parity_Nodes(AF11,AF26,AF27,AF12,AF13,AF10/AF18)</f>
        <v>4</v>
      </c>
      <c r="AG31" s="31" cm="1">
        <f t="array" ref="AG31">Comm_Parity_Nodes(AG11,AG26,AG27,AG12,AG13,AG10/AG18)</f>
        <v>4</v>
      </c>
      <c r="AH31" s="31" cm="1">
        <f t="array" ref="AH31">Comm_Parity_Nodes(AH11,AH26,AH27,AH12,AH13,AH10/AH18)</f>
        <v>4</v>
      </c>
      <c r="AI31" s="31" cm="1">
        <f t="array" ref="AI31">Comm_Parity_Nodes(AI11,AI26,AI27,AI12,AI13,AI10/AI18)</f>
        <v>4</v>
      </c>
      <c r="AJ31" s="31" cm="1">
        <f t="array" ref="AJ31">Comm_Parity_Nodes(AJ11,AJ26,AJ27,AJ12,AJ13,AJ10/AJ18)</f>
        <v>4</v>
      </c>
      <c r="AK31" s="31" cm="1">
        <f t="array" ref="AK31">Comm_Parity_Nodes(AK11,AK26,AK27,AK12,AK13,AK10/AK18)</f>
        <v>4</v>
      </c>
      <c r="AL31" s="30" cm="1">
        <f t="array" ref="AL31">Comm_Parity_Nodes(AL11,AL26,AL27,AL12,AL13,AL10/AL18)</f>
        <v>4</v>
      </c>
      <c r="AM31" s="31" cm="1">
        <f t="array" ref="AM31">Comm_Parity_Nodes(AM11,AM26,AM27,AM12,AM13,AM10/AM18)</f>
        <v>4</v>
      </c>
      <c r="AN31" s="31" cm="1">
        <f t="array" ref="AN31">Comm_Parity_Nodes(AN11,AN26,AN27,AN12,AN13,AN10/AN18)</f>
        <v>4</v>
      </c>
      <c r="AO31" s="31" cm="1">
        <f t="array" ref="AO31">Comm_Parity_Nodes(AO11,AO26,AO27,AO12,AO13,AO10/AO18)</f>
        <v>4</v>
      </c>
      <c r="AP31" s="31" cm="1">
        <f t="array" ref="AP31">Comm_Parity_Nodes(AP11,AP26,AP27,AP12,AP13,AP10/AP18)</f>
        <v>4</v>
      </c>
      <c r="AQ31" s="30" cm="1">
        <f t="array" ref="AQ31">Comm_Parity_Nodes(AQ11,AQ26,AQ27,AQ12,AQ13,AQ10/AQ18)</f>
        <v>4</v>
      </c>
      <c r="AR31" s="31" cm="1">
        <f t="array" ref="AR31">Comm_Parity_Nodes(AR11,AR26,AR27,AR12,AR13,AR10/AR18)</f>
        <v>4</v>
      </c>
      <c r="AS31" s="31" cm="1">
        <f t="array" ref="AS31">Comm_Parity_Nodes(AS11,AS26,AS27,AS12,AS13,AS10/AS18)</f>
        <v>4</v>
      </c>
      <c r="AT31" s="31" cm="1">
        <f t="array" ref="AT31">Comm_Parity_Nodes(AT11,AT26,AT27,AT12,AT13,AT10/AT18)</f>
        <v>4</v>
      </c>
      <c r="AU31" s="31" cm="1">
        <f t="array" ref="AU31">Comm_Parity_Nodes(AU11,AU26,AU27,AU12,AU13,AU10/AU18)</f>
        <v>4</v>
      </c>
      <c r="AV31" s="30" cm="1">
        <f t="array" ref="AV31">Comm_Parity_Nodes(AV11,AV26,AV27,AV12,AV13,AV10/AV18)</f>
        <v>4</v>
      </c>
      <c r="AW31" s="31" cm="1">
        <f t="array" ref="AW31">Comm_Parity_Nodes(AW11,AW26,AW27,AW12,AW13,AW10/AW18)</f>
        <v>4</v>
      </c>
      <c r="AX31" s="31" cm="1">
        <f t="array" ref="AX31">Comm_Parity_Nodes(AX11,AX26,AX27,AX12,AX13,AX10/AX18)</f>
        <v>4</v>
      </c>
      <c r="AY31" s="31" cm="1">
        <f t="array" ref="AY31">Comm_Parity_Nodes(AY11,AY26,AY27,AY12,AY13,AY10/AY18)</f>
        <v>4</v>
      </c>
      <c r="AZ31" s="31" cm="1">
        <f t="array" ref="AZ31">Comm_Parity_Nodes(AZ11,AZ26,AZ27,AZ12,AZ13,AZ10/AZ18)</f>
        <v>4</v>
      </c>
      <c r="BA31" s="31" cm="1">
        <f t="array" ref="BA31">Comm_Parity_Nodes(BA11,BA26,BA27,BA12,BA13,BA10/BA18)</f>
        <v>4</v>
      </c>
      <c r="BB31" s="30" cm="1">
        <f t="array" ref="BB31">Comm_Parity_Nodes(BB11,BB26,BB27,BB12,BB13,BB10/BB18)</f>
        <v>4</v>
      </c>
      <c r="BC31" s="31" cm="1">
        <f t="array" ref="BC31">Comm_Parity_Nodes(BC11,BC26,BC27,BC12,BC13,BC10/BC18)</f>
        <v>4</v>
      </c>
      <c r="BD31" s="31" cm="1">
        <f t="array" ref="BD31">Comm_Parity_Nodes(BD11,BD26,BD27,BD12,BD13,BD10/BD18)</f>
        <v>4</v>
      </c>
      <c r="BE31" s="31" cm="1">
        <f t="array" ref="BE31">Comm_Parity_Nodes(BE11,BE26,BE27,BE12,BE13,BE10/BE18)</f>
        <v>4</v>
      </c>
      <c r="BF31" s="31" cm="1">
        <f t="array" ref="BF31">Comm_Parity_Nodes(BF11,BF26,BF27,BF12,BF13,BF10/BF18)</f>
        <v>4</v>
      </c>
      <c r="BG31" s="31" cm="1">
        <f t="array" ref="BG31">Comm_Parity_Nodes(BG11,BG26,BG27,BG12,BG13,BG10/BG18)</f>
        <v>4</v>
      </c>
      <c r="BH31" s="30" cm="1">
        <f t="array" ref="BH31">Comm_Parity_Nodes(BH11,BH26,BH27,BH12,BH13,BH10/BH18)</f>
        <v>4</v>
      </c>
      <c r="BI31" s="31" cm="1">
        <f t="array" ref="BI31">Comm_Parity_Nodes(BI11,BI26,BI27,BI12,BI13,BI10/BI18)</f>
        <v>4</v>
      </c>
      <c r="BJ31" s="31" cm="1">
        <f t="array" ref="BJ31">Comm_Parity_Nodes(BJ11,BJ26,BJ27,BJ12,BJ13,BJ10/BJ18)</f>
        <v>4</v>
      </c>
      <c r="BK31" s="31" cm="1">
        <f t="array" ref="BK31">Comm_Parity_Nodes(BK11,BK26,BK27,BK12,BK13,BK10/BK18)</f>
        <v>4</v>
      </c>
      <c r="BL31" s="31" cm="1">
        <f t="array" ref="BL31">Comm_Parity_Nodes(BL11,BL26,BL27,BL12,BL13,BL10/BL18)</f>
        <v>4</v>
      </c>
      <c r="BM31" s="30" cm="1">
        <f t="array" ref="BM31">Comm_Parity_Nodes(BM11,BM26,BM27,BM12,BM13,BM10/BM18)</f>
        <v>4</v>
      </c>
      <c r="BN31" s="31" cm="1">
        <f t="array" ref="BN31">Comm_Parity_Nodes(BN11,BN26,BN27,BN12,BN13,BN10/BN18)</f>
        <v>4</v>
      </c>
      <c r="BO31" s="31" cm="1">
        <f t="array" ref="BO31">Comm_Parity_Nodes(BO11,BO26,BO27,BO12,BO13,BO10/BO18)</f>
        <v>4</v>
      </c>
      <c r="BP31" s="31" cm="1">
        <f t="array" ref="BP31">Comm_Parity_Nodes(BP11,BP26,BP27,BP12,BP13,BP10/BP18)</f>
        <v>4</v>
      </c>
      <c r="BQ31" s="31" cm="1">
        <f t="array" ref="BQ31">Comm_Parity_Nodes(BQ11,BQ26,BQ27,BQ12,BQ13,BQ10/BQ18)</f>
        <v>4</v>
      </c>
    </row>
    <row r="32" spans="2:69" x14ac:dyDescent="0.35">
      <c r="B32" s="6" t="s">
        <v>35</v>
      </c>
      <c r="D32" s="29"/>
      <c r="E32" s="17"/>
      <c r="F32" s="17"/>
      <c r="G32" s="17"/>
      <c r="H32" s="17"/>
      <c r="I32" s="17"/>
      <c r="J32" s="29"/>
      <c r="K32" s="17"/>
      <c r="L32" s="17"/>
      <c r="M32" s="17"/>
      <c r="N32" s="17"/>
      <c r="O32" s="17"/>
      <c r="P32" s="29"/>
      <c r="Q32" s="17"/>
      <c r="R32" s="17"/>
      <c r="S32" s="17"/>
      <c r="T32" s="17"/>
      <c r="U32" s="29"/>
      <c r="V32" s="17"/>
      <c r="W32" s="17"/>
      <c r="X32" s="17"/>
      <c r="Y32" s="17"/>
      <c r="Z32" s="29"/>
      <c r="AA32" s="17"/>
      <c r="AB32" s="17"/>
      <c r="AC32" s="17"/>
      <c r="AD32" s="17"/>
      <c r="AE32" s="17"/>
      <c r="AF32" s="29"/>
      <c r="AG32" s="17"/>
      <c r="AH32" s="17"/>
      <c r="AI32" s="17"/>
      <c r="AJ32" s="17"/>
      <c r="AK32" s="17"/>
      <c r="AL32" s="29"/>
      <c r="AM32" s="17"/>
      <c r="AN32" s="17"/>
      <c r="AO32" s="17"/>
      <c r="AP32" s="17"/>
      <c r="AQ32" s="29"/>
      <c r="AR32" s="17"/>
      <c r="AS32" s="17"/>
      <c r="AT32" s="17"/>
      <c r="AU32" s="17"/>
      <c r="AV32" s="29"/>
      <c r="AW32" s="17"/>
      <c r="AX32" s="17"/>
      <c r="AY32" s="17"/>
      <c r="AZ32" s="17"/>
      <c r="BA32" s="17"/>
      <c r="BB32" s="29"/>
      <c r="BC32" s="17"/>
      <c r="BD32" s="17"/>
      <c r="BE32" s="17"/>
      <c r="BF32" s="17"/>
      <c r="BG32" s="17"/>
      <c r="BH32" s="29"/>
      <c r="BI32" s="17"/>
      <c r="BJ32" s="17"/>
      <c r="BK32" s="17"/>
      <c r="BL32" s="17"/>
      <c r="BM32" s="29"/>
      <c r="BN32" s="17"/>
      <c r="BO32" s="17"/>
      <c r="BP32" s="17"/>
      <c r="BQ32" s="17"/>
    </row>
    <row r="33" spans="2:69" x14ac:dyDescent="0.35">
      <c r="B33" s="9" t="s">
        <v>36</v>
      </c>
      <c r="D33" s="26"/>
      <c r="J33" s="26"/>
      <c r="P33" s="26"/>
      <c r="U33" s="26"/>
      <c r="Z33" s="26"/>
      <c r="AF33" s="26"/>
      <c r="AL33" s="26"/>
      <c r="AQ33" s="26"/>
      <c r="AV33" s="26"/>
      <c r="BB33" s="26"/>
      <c r="BH33" s="26"/>
      <c r="BM33" s="26"/>
    </row>
    <row r="34" spans="2:69" ht="15" thickBot="1" x14ac:dyDescent="0.4">
      <c r="B34" s="40" t="s">
        <v>56</v>
      </c>
      <c r="D34" s="38">
        <f>SUMPRODUCT(D18:I18, D29:I29)  / 5 / 0.5/1000/1000</f>
        <v>4.6713600000000001E-2</v>
      </c>
      <c r="E34" s="32"/>
      <c r="F34" s="32"/>
      <c r="G34" s="32"/>
      <c r="H34" s="32"/>
      <c r="I34" s="32"/>
      <c r="J34" s="38">
        <f>SUMPRODUCT(J18:O18, J29:O29)  / 5 / 0.5/1000/1000</f>
        <v>2.21376E-2</v>
      </c>
      <c r="K34" s="32"/>
      <c r="L34" s="32"/>
      <c r="M34" s="32"/>
      <c r="N34" s="32"/>
      <c r="O34" s="32"/>
      <c r="P34" s="38">
        <f>SUMPRODUCT(P18:Y18, P29:Y29)  / 5 / 0.5/1000/1000</f>
        <v>7.1199999999999999E-2</v>
      </c>
      <c r="Q34" s="32"/>
      <c r="R34" s="32"/>
      <c r="S34" s="32"/>
      <c r="T34" s="32"/>
      <c r="U34" s="38">
        <f>SUMPRODUCT(U18:Y18, U29:Y29)  / 5 / 0.5/1000/1000</f>
        <v>2.3056E-2</v>
      </c>
      <c r="V34" s="32"/>
      <c r="W34" s="32"/>
      <c r="X34" s="32"/>
      <c r="Y34" s="32"/>
      <c r="Z34" s="38">
        <f>SUMPRODUCT(Z18:AE18, Z29:AE29)  / 5 / 0.5/1000/1000</f>
        <v>3.6268800000000004E-2</v>
      </c>
      <c r="AA34" s="32"/>
      <c r="AB34" s="32"/>
      <c r="AC34" s="32"/>
      <c r="AD34" s="32"/>
      <c r="AE34" s="32"/>
      <c r="AF34" s="38">
        <f>SUMPRODUCT(AF18:AK18, AF29:AK29)  / 5 / 0.5/1000/1000</f>
        <v>1.6588800000000001E-2</v>
      </c>
      <c r="AG34" s="32"/>
      <c r="AH34" s="32"/>
      <c r="AI34" s="32"/>
      <c r="AJ34" s="32"/>
      <c r="AK34" s="32"/>
      <c r="AL34" s="38">
        <f>SUMPRODUCT(AL18:AU18, AL29:AU29)  / 5 / 0.5/1000/1000</f>
        <v>5.0976E-2</v>
      </c>
      <c r="AM34" s="32"/>
      <c r="AN34" s="32"/>
      <c r="AO34" s="32"/>
      <c r="AP34" s="32"/>
      <c r="AQ34" s="38">
        <f>SUMPRODUCT(AQ18:AU18, AQ29:AU29)  / 5 / 0.5/1000/1000</f>
        <v>1.6128E-2</v>
      </c>
      <c r="AR34" s="32"/>
      <c r="AS34" s="32"/>
      <c r="AT34" s="32"/>
      <c r="AU34" s="32"/>
      <c r="AV34" s="38">
        <f>SUMPRODUCT(AV18:BA18, AV29:BA29)  / 5 / 0.5/1000/1000</f>
        <v>2.21376E-2</v>
      </c>
      <c r="AW34" s="32"/>
      <c r="AX34" s="32"/>
      <c r="AY34" s="32"/>
      <c r="AZ34" s="32"/>
      <c r="BA34" s="32"/>
      <c r="BB34" s="38">
        <f>SUMPRODUCT(BB18:BG18, BB29:BG29)  / 5 / 0.5/1000/1000</f>
        <v>1.10592E-2</v>
      </c>
      <c r="BC34" s="32"/>
      <c r="BD34" s="32"/>
      <c r="BE34" s="32"/>
      <c r="BF34" s="32"/>
      <c r="BG34" s="32"/>
      <c r="BH34" s="38">
        <f>SUMPRODUCT(BH18:BQ18, BH29:BQ29)  / 5 / 0.5/1000/1000</f>
        <v>3.4576000000000003E-2</v>
      </c>
      <c r="BI34" s="32"/>
      <c r="BJ34" s="32"/>
      <c r="BK34" s="32"/>
      <c r="BL34" s="32"/>
      <c r="BM34" s="38">
        <f>SUMPRODUCT(BM18:BQ18, BM29:BQ29)  / 5 / 0.5/1000/1000</f>
        <v>1.1519999999999999E-2</v>
      </c>
      <c r="BN34" s="32"/>
      <c r="BO34" s="32"/>
      <c r="BP34" s="32"/>
      <c r="BQ34" s="32"/>
    </row>
    <row r="35" spans="2:69" x14ac:dyDescent="0.35">
      <c r="P35" t="s">
        <v>99</v>
      </c>
      <c r="R35" t="s">
        <v>98</v>
      </c>
      <c r="U35" t="s">
        <v>99</v>
      </c>
      <c r="W35" t="s">
        <v>98</v>
      </c>
      <c r="AL35" t="s">
        <v>99</v>
      </c>
      <c r="AN35" t="s">
        <v>98</v>
      </c>
      <c r="AQ35" t="s">
        <v>99</v>
      </c>
      <c r="AS35" t="s">
        <v>98</v>
      </c>
      <c r="BH35" t="s">
        <v>99</v>
      </c>
      <c r="BJ35" t="s">
        <v>98</v>
      </c>
      <c r="BM35" t="s">
        <v>99</v>
      </c>
      <c r="BO35" t="s">
        <v>98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CB6B7-650A-47D8-98F5-768B187F70D6}">
  <dimension ref="B1:AA36"/>
  <sheetViews>
    <sheetView topLeftCell="A9" workbookViewId="0">
      <selection activeCell="D34" sqref="D3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27" ht="15" thickBot="1" x14ac:dyDescent="0.4"/>
    <row r="2" spans="2:27" x14ac:dyDescent="0.35">
      <c r="B2" s="2" t="s">
        <v>0</v>
      </c>
      <c r="D2" s="21" t="s">
        <v>114</v>
      </c>
      <c r="E2" s="24"/>
      <c r="F2" s="24"/>
      <c r="G2" s="24"/>
      <c r="H2" s="24"/>
      <c r="I2" s="24"/>
      <c r="J2" s="21" t="s">
        <v>115</v>
      </c>
      <c r="K2" s="24"/>
      <c r="L2" s="24"/>
      <c r="M2" s="24"/>
      <c r="N2" s="24"/>
      <c r="O2" s="24"/>
      <c r="P2" s="21" t="s">
        <v>116</v>
      </c>
      <c r="Q2" s="24"/>
      <c r="R2" s="24"/>
      <c r="S2" s="24"/>
      <c r="T2" s="24"/>
      <c r="U2" s="24"/>
      <c r="V2" s="21" t="s">
        <v>117</v>
      </c>
      <c r="W2" s="24"/>
      <c r="X2" s="24"/>
      <c r="Y2" s="24"/>
      <c r="Z2" s="24"/>
      <c r="AA2" s="24"/>
    </row>
    <row r="3" spans="2:27" x14ac:dyDescent="0.35">
      <c r="B3" s="3" t="s">
        <v>3</v>
      </c>
      <c r="D3" s="28">
        <v>80</v>
      </c>
      <c r="E3" s="1">
        <v>80</v>
      </c>
      <c r="F3" s="1">
        <v>80</v>
      </c>
      <c r="G3" s="1">
        <v>80</v>
      </c>
      <c r="H3" s="1">
        <v>80</v>
      </c>
      <c r="I3" s="1">
        <v>80</v>
      </c>
      <c r="J3" s="28">
        <v>80</v>
      </c>
      <c r="K3" s="1">
        <v>80</v>
      </c>
      <c r="L3" s="1">
        <v>80</v>
      </c>
      <c r="M3" s="1">
        <v>80</v>
      </c>
      <c r="N3" s="1">
        <v>80</v>
      </c>
      <c r="O3" s="1">
        <v>80</v>
      </c>
      <c r="P3" s="28">
        <v>40</v>
      </c>
      <c r="Q3" s="1">
        <v>40</v>
      </c>
      <c r="R3" s="1">
        <v>40</v>
      </c>
      <c r="S3" s="1">
        <v>40</v>
      </c>
      <c r="T3" s="1">
        <v>40</v>
      </c>
      <c r="U3" s="1">
        <v>40</v>
      </c>
      <c r="V3" s="28">
        <v>40</v>
      </c>
      <c r="W3" s="1">
        <v>40</v>
      </c>
      <c r="X3" s="1">
        <v>40</v>
      </c>
      <c r="Y3" s="1">
        <v>40</v>
      </c>
      <c r="Z3" s="1">
        <v>40</v>
      </c>
      <c r="AA3" s="1">
        <v>40</v>
      </c>
    </row>
    <row r="4" spans="2:27" x14ac:dyDescent="0.35">
      <c r="B4" s="3" t="s">
        <v>4</v>
      </c>
      <c r="D4" s="28">
        <v>217</v>
      </c>
      <c r="E4" s="1">
        <v>217</v>
      </c>
      <c r="F4" s="1">
        <v>217</v>
      </c>
      <c r="G4" s="1">
        <v>217</v>
      </c>
      <c r="H4" s="1">
        <v>217</v>
      </c>
      <c r="I4" s="1">
        <v>217</v>
      </c>
      <c r="J4" s="28">
        <v>217</v>
      </c>
      <c r="K4" s="1">
        <v>217</v>
      </c>
      <c r="L4" s="1">
        <v>217</v>
      </c>
      <c r="M4" s="1">
        <v>217</v>
      </c>
      <c r="N4" s="1">
        <v>217</v>
      </c>
      <c r="O4" s="1">
        <v>217</v>
      </c>
      <c r="P4" s="28">
        <v>106</v>
      </c>
      <c r="Q4" s="1">
        <v>106</v>
      </c>
      <c r="R4" s="1">
        <v>106</v>
      </c>
      <c r="S4" s="1">
        <v>106</v>
      </c>
      <c r="T4" s="1">
        <v>106</v>
      </c>
      <c r="U4" s="1">
        <v>106</v>
      </c>
      <c r="V4" s="28">
        <v>106</v>
      </c>
      <c r="W4" s="1">
        <v>106</v>
      </c>
      <c r="X4" s="1">
        <v>106</v>
      </c>
      <c r="Y4" s="1">
        <v>106</v>
      </c>
      <c r="Z4" s="1">
        <v>106</v>
      </c>
      <c r="AA4" s="1">
        <v>106</v>
      </c>
    </row>
    <row r="5" spans="2:27" x14ac:dyDescent="0.35">
      <c r="B5" s="3" t="s">
        <v>5</v>
      </c>
      <c r="D5" s="28">
        <v>217</v>
      </c>
      <c r="E5" s="1">
        <v>217</v>
      </c>
      <c r="F5" s="1">
        <v>217</v>
      </c>
      <c r="G5" s="1">
        <v>217</v>
      </c>
      <c r="H5" s="1">
        <v>217</v>
      </c>
      <c r="I5" s="1">
        <v>217</v>
      </c>
      <c r="J5" s="28">
        <v>217</v>
      </c>
      <c r="K5" s="1">
        <v>217</v>
      </c>
      <c r="L5" s="1">
        <v>217</v>
      </c>
      <c r="M5" s="1">
        <v>217</v>
      </c>
      <c r="N5" s="1">
        <v>217</v>
      </c>
      <c r="O5" s="1">
        <v>217</v>
      </c>
      <c r="P5" s="28">
        <v>106</v>
      </c>
      <c r="Q5" s="1">
        <v>106</v>
      </c>
      <c r="R5" s="1">
        <v>106</v>
      </c>
      <c r="S5" s="1">
        <v>106</v>
      </c>
      <c r="T5" s="1">
        <v>106</v>
      </c>
      <c r="U5" s="1">
        <v>106</v>
      </c>
      <c r="V5" s="28">
        <v>106</v>
      </c>
      <c r="W5" s="1">
        <v>106</v>
      </c>
      <c r="X5" s="1">
        <v>106</v>
      </c>
      <c r="Y5" s="1">
        <v>106</v>
      </c>
      <c r="Z5" s="1">
        <v>106</v>
      </c>
      <c r="AA5" s="1">
        <v>106</v>
      </c>
    </row>
    <row r="6" spans="2:27" x14ac:dyDescent="0.35">
      <c r="B6" s="3" t="s">
        <v>6</v>
      </c>
      <c r="D6" s="28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28">
        <v>1</v>
      </c>
      <c r="K6" s="1">
        <v>2</v>
      </c>
      <c r="L6" s="1">
        <v>3</v>
      </c>
      <c r="M6" s="1">
        <v>4</v>
      </c>
      <c r="N6" s="1">
        <v>5</v>
      </c>
      <c r="O6" s="1">
        <v>6</v>
      </c>
      <c r="P6" s="28">
        <v>1</v>
      </c>
      <c r="Q6" s="1">
        <v>2</v>
      </c>
      <c r="R6" s="1">
        <v>3</v>
      </c>
      <c r="S6" s="1">
        <v>4</v>
      </c>
      <c r="T6" s="1">
        <v>5</v>
      </c>
      <c r="U6" s="1">
        <v>6</v>
      </c>
      <c r="V6" s="28">
        <v>1</v>
      </c>
      <c r="W6" s="1">
        <v>2</v>
      </c>
      <c r="X6" s="1">
        <v>3</v>
      </c>
      <c r="Y6" s="1">
        <v>4</v>
      </c>
      <c r="Z6" s="1">
        <v>5</v>
      </c>
      <c r="AA6" s="1">
        <v>6</v>
      </c>
    </row>
    <row r="7" spans="2:27" x14ac:dyDescent="0.35">
      <c r="B7" s="3" t="s">
        <v>7</v>
      </c>
      <c r="D7" s="27">
        <f>D11/D5</f>
        <v>0.16589861751152074</v>
      </c>
      <c r="E7" s="14">
        <f t="shared" ref="E7:I7" si="0">E11/E5</f>
        <v>0.16589861751152074</v>
      </c>
      <c r="F7" s="14">
        <f t="shared" si="0"/>
        <v>0.16589861751152074</v>
      </c>
      <c r="G7" s="14">
        <f t="shared" si="0"/>
        <v>0.16589861751152074</v>
      </c>
      <c r="H7" s="14">
        <f t="shared" si="0"/>
        <v>0.16589861751152074</v>
      </c>
      <c r="I7" s="14">
        <f t="shared" si="0"/>
        <v>0.16589861751152074</v>
      </c>
      <c r="J7" s="27">
        <f>J11/J5</f>
        <v>8.294930875576037E-2</v>
      </c>
      <c r="K7" s="14">
        <f t="shared" ref="K7:O7" si="1">K11/K5</f>
        <v>8.294930875576037E-2</v>
      </c>
      <c r="L7" s="14">
        <f t="shared" si="1"/>
        <v>8.294930875576037E-2</v>
      </c>
      <c r="M7" s="14">
        <f t="shared" si="1"/>
        <v>8.294930875576037E-2</v>
      </c>
      <c r="N7" s="14">
        <f t="shared" si="1"/>
        <v>8.294930875576037E-2</v>
      </c>
      <c r="O7" s="14">
        <f t="shared" si="1"/>
        <v>8.294930875576037E-2</v>
      </c>
      <c r="P7" s="27">
        <f>P11/P5</f>
        <v>0.16037735849056603</v>
      </c>
      <c r="Q7" s="14">
        <f t="shared" ref="Q7:U7" si="2">Q11/Q5</f>
        <v>0.16037735849056603</v>
      </c>
      <c r="R7" s="14">
        <f t="shared" si="2"/>
        <v>0.16037735849056603</v>
      </c>
      <c r="S7" s="14">
        <f t="shared" si="2"/>
        <v>0.16037735849056603</v>
      </c>
      <c r="T7" s="14">
        <f t="shared" si="2"/>
        <v>0.16037735849056603</v>
      </c>
      <c r="U7" s="14">
        <f t="shared" si="2"/>
        <v>0.16037735849056603</v>
      </c>
      <c r="V7" s="27">
        <f>V11/V5</f>
        <v>7.5471698113207544E-2</v>
      </c>
      <c r="W7" s="14">
        <f t="shared" ref="W7:AA7" si="3">W11/W5</f>
        <v>7.5471698113207544E-2</v>
      </c>
      <c r="X7" s="14">
        <f t="shared" si="3"/>
        <v>7.5471698113207544E-2</v>
      </c>
      <c r="Y7" s="14">
        <f t="shared" si="3"/>
        <v>7.5471698113207544E-2</v>
      </c>
      <c r="Z7" s="14">
        <f t="shared" si="3"/>
        <v>7.5471698113207544E-2</v>
      </c>
      <c r="AA7" s="14">
        <f t="shared" si="3"/>
        <v>7.5471698113207544E-2</v>
      </c>
    </row>
    <row r="8" spans="2:27" x14ac:dyDescent="0.35">
      <c r="B8" s="4" t="s">
        <v>8</v>
      </c>
      <c r="D8" s="28">
        <v>1</v>
      </c>
      <c r="E8" s="1">
        <v>1</v>
      </c>
      <c r="F8" s="1">
        <v>1</v>
      </c>
      <c r="G8" s="1">
        <v>1</v>
      </c>
      <c r="H8" s="1">
        <v>1</v>
      </c>
      <c r="I8" s="1">
        <v>1</v>
      </c>
      <c r="J8" s="28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28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28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</row>
    <row r="9" spans="2:27" x14ac:dyDescent="0.35">
      <c r="B9" s="4" t="s">
        <v>9</v>
      </c>
      <c r="D9" s="28">
        <v>4</v>
      </c>
      <c r="E9" s="1">
        <v>4</v>
      </c>
      <c r="F9" s="1">
        <v>4</v>
      </c>
      <c r="G9" s="1">
        <v>4</v>
      </c>
      <c r="H9" s="1">
        <v>4</v>
      </c>
      <c r="I9" s="1">
        <v>4</v>
      </c>
      <c r="J9" s="28">
        <v>4</v>
      </c>
      <c r="K9" s="1">
        <v>4</v>
      </c>
      <c r="L9" s="1">
        <v>4</v>
      </c>
      <c r="M9" s="1">
        <v>4</v>
      </c>
      <c r="N9" s="1">
        <v>4</v>
      </c>
      <c r="O9" s="1">
        <v>4</v>
      </c>
      <c r="P9" s="28">
        <v>4</v>
      </c>
      <c r="Q9" s="1">
        <v>4</v>
      </c>
      <c r="R9" s="1">
        <v>4</v>
      </c>
      <c r="S9" s="1">
        <v>4</v>
      </c>
      <c r="T9" s="1">
        <v>4</v>
      </c>
      <c r="U9" s="1">
        <v>4</v>
      </c>
      <c r="V9" s="28">
        <v>4</v>
      </c>
      <c r="W9" s="1">
        <v>4</v>
      </c>
      <c r="X9" s="1">
        <v>4</v>
      </c>
      <c r="Y9" s="1">
        <v>4</v>
      </c>
      <c r="Z9" s="1">
        <v>4</v>
      </c>
      <c r="AA9" s="1">
        <v>4</v>
      </c>
    </row>
    <row r="10" spans="2:27" x14ac:dyDescent="0.35">
      <c r="B10" s="4" t="s">
        <v>10</v>
      </c>
      <c r="D10" s="28">
        <v>4</v>
      </c>
      <c r="E10" s="1">
        <v>4</v>
      </c>
      <c r="F10" s="1">
        <v>4</v>
      </c>
      <c r="G10" s="1">
        <v>4</v>
      </c>
      <c r="H10" s="1">
        <v>4</v>
      </c>
      <c r="I10" s="1">
        <v>4</v>
      </c>
      <c r="J10" s="28">
        <v>4</v>
      </c>
      <c r="K10" s="1">
        <v>4</v>
      </c>
      <c r="L10" s="1">
        <v>4</v>
      </c>
      <c r="M10" s="1">
        <v>4</v>
      </c>
      <c r="N10" s="1">
        <v>4</v>
      </c>
      <c r="O10" s="1">
        <v>4</v>
      </c>
      <c r="P10" s="28">
        <v>4</v>
      </c>
      <c r="Q10" s="1">
        <v>4</v>
      </c>
      <c r="R10" s="1">
        <v>4</v>
      </c>
      <c r="S10" s="1">
        <v>4</v>
      </c>
      <c r="T10" s="1">
        <v>4</v>
      </c>
      <c r="U10" s="1">
        <v>4</v>
      </c>
      <c r="V10" s="28">
        <v>4</v>
      </c>
      <c r="W10" s="1">
        <v>4</v>
      </c>
      <c r="X10" s="1">
        <v>4</v>
      </c>
      <c r="Y10" s="1">
        <v>4</v>
      </c>
      <c r="Z10" s="1">
        <v>4</v>
      </c>
      <c r="AA10" s="1">
        <v>4</v>
      </c>
    </row>
    <row r="11" spans="2:27" x14ac:dyDescent="0.35">
      <c r="B11" s="3" t="s">
        <v>11</v>
      </c>
      <c r="D11" s="28">
        <v>36</v>
      </c>
      <c r="E11" s="1">
        <v>36</v>
      </c>
      <c r="F11" s="1">
        <v>36</v>
      </c>
      <c r="G11" s="1">
        <v>36</v>
      </c>
      <c r="H11" s="1">
        <v>36</v>
      </c>
      <c r="I11" s="1">
        <v>36</v>
      </c>
      <c r="J11" s="28">
        <v>18</v>
      </c>
      <c r="K11" s="1">
        <v>18</v>
      </c>
      <c r="L11" s="1">
        <v>18</v>
      </c>
      <c r="M11" s="1">
        <v>18</v>
      </c>
      <c r="N11" s="1">
        <v>18</v>
      </c>
      <c r="O11" s="1">
        <v>18</v>
      </c>
      <c r="P11" s="28">
        <v>17</v>
      </c>
      <c r="Q11" s="1">
        <v>17</v>
      </c>
      <c r="R11" s="1">
        <v>17</v>
      </c>
      <c r="S11" s="1">
        <v>17</v>
      </c>
      <c r="T11" s="1">
        <v>17</v>
      </c>
      <c r="U11" s="1">
        <v>17</v>
      </c>
      <c r="V11" s="28">
        <v>8</v>
      </c>
      <c r="W11" s="1">
        <v>8</v>
      </c>
      <c r="X11" s="1">
        <v>8</v>
      </c>
      <c r="Y11" s="1">
        <v>8</v>
      </c>
      <c r="Z11" s="1">
        <v>8</v>
      </c>
      <c r="AA11" s="1">
        <v>8</v>
      </c>
    </row>
    <row r="12" spans="2:27" x14ac:dyDescent="0.35">
      <c r="B12" s="3" t="s">
        <v>12</v>
      </c>
      <c r="D12" s="28">
        <v>13</v>
      </c>
      <c r="E12" s="1">
        <v>13</v>
      </c>
      <c r="F12" s="1">
        <v>13</v>
      </c>
      <c r="G12" s="1">
        <v>13</v>
      </c>
      <c r="H12" s="1">
        <v>13</v>
      </c>
      <c r="I12" s="1">
        <v>13</v>
      </c>
      <c r="J12" s="28">
        <v>13</v>
      </c>
      <c r="K12" s="1">
        <v>13</v>
      </c>
      <c r="L12" s="1">
        <v>13</v>
      </c>
      <c r="M12" s="1">
        <v>13</v>
      </c>
      <c r="N12" s="1">
        <v>13</v>
      </c>
      <c r="O12" s="1">
        <v>13</v>
      </c>
      <c r="P12" s="28">
        <v>13</v>
      </c>
      <c r="Q12" s="1">
        <v>13</v>
      </c>
      <c r="R12" s="1">
        <v>13</v>
      </c>
      <c r="S12" s="1">
        <v>13</v>
      </c>
      <c r="T12" s="1">
        <v>13</v>
      </c>
      <c r="U12" s="1">
        <v>13</v>
      </c>
      <c r="V12" s="28">
        <v>13</v>
      </c>
      <c r="W12" s="1">
        <v>13</v>
      </c>
      <c r="X12" s="1">
        <v>13</v>
      </c>
      <c r="Y12" s="1">
        <v>13</v>
      </c>
      <c r="Z12" s="1">
        <v>13</v>
      </c>
      <c r="AA12" s="1">
        <v>13</v>
      </c>
    </row>
    <row r="13" spans="2:27" x14ac:dyDescent="0.35">
      <c r="B13" s="3" t="s">
        <v>13</v>
      </c>
      <c r="C13" s="1"/>
      <c r="D13" s="28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28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28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28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</row>
    <row r="14" spans="2:27" x14ac:dyDescent="0.35">
      <c r="B14" s="5" t="s">
        <v>14</v>
      </c>
      <c r="C14" s="1"/>
      <c r="D14" s="28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28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28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28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</row>
    <row r="15" spans="2:27" x14ac:dyDescent="0.35">
      <c r="B15" s="5" t="s">
        <v>15</v>
      </c>
      <c r="D15" s="28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28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28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28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</row>
    <row r="16" spans="2:27" x14ac:dyDescent="0.35">
      <c r="B16" s="3" t="s">
        <v>16</v>
      </c>
      <c r="D16" s="28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28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28">
        <v>2</v>
      </c>
      <c r="Q16" s="1">
        <v>2</v>
      </c>
      <c r="R16" s="1">
        <v>2</v>
      </c>
      <c r="S16" s="1">
        <v>2</v>
      </c>
      <c r="T16" s="1">
        <v>2</v>
      </c>
      <c r="U16" s="1">
        <v>2</v>
      </c>
      <c r="V16" s="28">
        <v>2</v>
      </c>
      <c r="W16" s="1">
        <v>2</v>
      </c>
      <c r="X16" s="1">
        <v>2</v>
      </c>
      <c r="Y16" s="1">
        <v>2</v>
      </c>
      <c r="Z16" s="1">
        <v>2</v>
      </c>
      <c r="AA16" s="1">
        <v>2</v>
      </c>
    </row>
    <row r="17" spans="2:27" x14ac:dyDescent="0.35">
      <c r="B17" s="3" t="s">
        <v>17</v>
      </c>
      <c r="D17" s="28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28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28">
        <v>27</v>
      </c>
      <c r="Q17" s="1">
        <v>27</v>
      </c>
      <c r="R17" s="1">
        <v>27</v>
      </c>
      <c r="S17" s="1">
        <v>27</v>
      </c>
      <c r="T17" s="1">
        <v>27</v>
      </c>
      <c r="U17" s="1">
        <v>27</v>
      </c>
      <c r="V17" s="28">
        <v>27</v>
      </c>
      <c r="W17" s="1">
        <v>27</v>
      </c>
      <c r="X17" s="1">
        <v>27</v>
      </c>
      <c r="Y17" s="1">
        <v>27</v>
      </c>
      <c r="Z17" s="1">
        <v>27</v>
      </c>
      <c r="AA17" s="1">
        <v>27</v>
      </c>
    </row>
    <row r="18" spans="2:27" x14ac:dyDescent="0.35">
      <c r="B18" s="3" t="s">
        <v>18</v>
      </c>
      <c r="D18" s="28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28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28">
        <v>1</v>
      </c>
      <c r="Q18" s="1">
        <v>1</v>
      </c>
      <c r="R18" s="1">
        <v>1</v>
      </c>
      <c r="S18" s="1">
        <v>1</v>
      </c>
      <c r="T18" s="1">
        <v>1</v>
      </c>
      <c r="U18" s="1">
        <v>1</v>
      </c>
      <c r="V18" s="28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</row>
    <row r="19" spans="2:27" x14ac:dyDescent="0.35">
      <c r="B19" s="3" t="s">
        <v>19</v>
      </c>
      <c r="D19" s="28">
        <v>4</v>
      </c>
      <c r="E19" s="1">
        <v>4</v>
      </c>
      <c r="F19" s="1">
        <v>4</v>
      </c>
      <c r="G19" s="1">
        <v>4</v>
      </c>
      <c r="H19" s="1">
        <v>4</v>
      </c>
      <c r="I19" s="1">
        <v>4</v>
      </c>
      <c r="J19" s="28">
        <v>4</v>
      </c>
      <c r="K19" s="1">
        <v>4</v>
      </c>
      <c r="L19" s="1">
        <v>4</v>
      </c>
      <c r="M19" s="1">
        <v>4</v>
      </c>
      <c r="N19" s="1">
        <v>4</v>
      </c>
      <c r="O19" s="1">
        <v>4</v>
      </c>
      <c r="P19" s="28">
        <v>4</v>
      </c>
      <c r="Q19" s="1">
        <v>4</v>
      </c>
      <c r="R19" s="1">
        <v>4</v>
      </c>
      <c r="S19" s="1">
        <v>4</v>
      </c>
      <c r="T19" s="1">
        <v>4</v>
      </c>
      <c r="U19" s="1">
        <v>4</v>
      </c>
      <c r="V19" s="28">
        <v>4</v>
      </c>
      <c r="W19" s="1">
        <v>4</v>
      </c>
      <c r="X19" s="1">
        <v>4</v>
      </c>
      <c r="Y19" s="1">
        <v>4</v>
      </c>
      <c r="Z19" s="1">
        <v>4</v>
      </c>
      <c r="AA19" s="1">
        <v>4</v>
      </c>
    </row>
    <row r="20" spans="2:27" x14ac:dyDescent="0.35">
      <c r="B20" s="3" t="s">
        <v>20</v>
      </c>
      <c r="D20" s="28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1" t="s">
        <v>44</v>
      </c>
      <c r="J20" s="28" t="s">
        <v>44</v>
      </c>
      <c r="K20" s="1" t="s">
        <v>44</v>
      </c>
      <c r="L20" s="1" t="s">
        <v>44</v>
      </c>
      <c r="M20" s="1" t="s">
        <v>44</v>
      </c>
      <c r="N20" s="1" t="s">
        <v>44</v>
      </c>
      <c r="O20" s="1" t="s">
        <v>44</v>
      </c>
      <c r="P20" s="28" t="s">
        <v>44</v>
      </c>
      <c r="Q20" s="1" t="s">
        <v>44</v>
      </c>
      <c r="R20" s="1" t="s">
        <v>44</v>
      </c>
      <c r="S20" s="1" t="s">
        <v>44</v>
      </c>
      <c r="T20" s="1" t="s">
        <v>44</v>
      </c>
      <c r="U20" s="1" t="s">
        <v>44</v>
      </c>
      <c r="V20" s="28" t="s">
        <v>44</v>
      </c>
      <c r="W20" s="1" t="s">
        <v>44</v>
      </c>
      <c r="X20" s="1" t="s">
        <v>44</v>
      </c>
      <c r="Y20" s="1" t="s">
        <v>44</v>
      </c>
      <c r="Z20" s="1" t="s">
        <v>44</v>
      </c>
      <c r="AA20" s="1" t="s">
        <v>44</v>
      </c>
    </row>
    <row r="21" spans="2:27" x14ac:dyDescent="0.35">
      <c r="B21" s="6" t="s">
        <v>22</v>
      </c>
      <c r="D21" s="29"/>
      <c r="E21" s="17"/>
      <c r="F21" s="17"/>
      <c r="G21" s="17"/>
      <c r="H21" s="17"/>
      <c r="I21" s="17"/>
      <c r="J21" s="29"/>
      <c r="K21" s="17"/>
      <c r="L21" s="17"/>
      <c r="M21" s="17"/>
      <c r="N21" s="17"/>
      <c r="O21" s="17"/>
      <c r="P21" s="29"/>
      <c r="Q21" s="17"/>
      <c r="R21" s="17"/>
      <c r="S21" s="17"/>
      <c r="T21" s="17"/>
      <c r="U21" s="17"/>
      <c r="V21" s="29"/>
      <c r="W21" s="17"/>
      <c r="X21" s="17"/>
      <c r="Y21" s="17"/>
      <c r="Z21" s="17"/>
      <c r="AA21" s="17"/>
    </row>
    <row r="22" spans="2:27" x14ac:dyDescent="0.35">
      <c r="B22" s="7" t="s">
        <v>23</v>
      </c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28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28" t="s">
        <v>24</v>
      </c>
      <c r="Q22" s="1" t="s">
        <v>24</v>
      </c>
      <c r="R22" s="1" t="s">
        <v>24</v>
      </c>
      <c r="S22" s="1" t="s">
        <v>24</v>
      </c>
      <c r="T22" s="1" t="s">
        <v>24</v>
      </c>
      <c r="U22" s="1" t="s">
        <v>24</v>
      </c>
      <c r="V22" s="28" t="s">
        <v>24</v>
      </c>
      <c r="W22" s="1" t="s">
        <v>24</v>
      </c>
      <c r="X22" s="1" t="s">
        <v>24</v>
      </c>
      <c r="Y22" s="1" t="s">
        <v>24</v>
      </c>
      <c r="Z22" s="1" t="s">
        <v>24</v>
      </c>
      <c r="AA22" s="1" t="s">
        <v>24</v>
      </c>
    </row>
    <row r="23" spans="2:27" x14ac:dyDescent="0.35">
      <c r="B23" s="7" t="s">
        <v>25</v>
      </c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28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28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28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</row>
    <row r="24" spans="2:27" x14ac:dyDescent="0.35">
      <c r="B24" s="7" t="s">
        <v>26</v>
      </c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28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28" t="s">
        <v>27</v>
      </c>
      <c r="Q24" s="1" t="s">
        <v>27</v>
      </c>
      <c r="R24" s="1" t="s">
        <v>27</v>
      </c>
      <c r="S24" s="1" t="s">
        <v>27</v>
      </c>
      <c r="T24" s="1" t="s">
        <v>27</v>
      </c>
      <c r="U24" s="1" t="s">
        <v>27</v>
      </c>
      <c r="V24" s="28" t="s">
        <v>27</v>
      </c>
      <c r="W24" s="1" t="s">
        <v>27</v>
      </c>
      <c r="X24" s="1" t="s">
        <v>27</v>
      </c>
      <c r="Y24" s="1" t="s">
        <v>27</v>
      </c>
      <c r="Z24" s="1" t="s">
        <v>27</v>
      </c>
      <c r="AA24" s="1" t="s">
        <v>27</v>
      </c>
    </row>
    <row r="25" spans="2:27" x14ac:dyDescent="0.35">
      <c r="B25" s="6" t="s">
        <v>28</v>
      </c>
      <c r="D25" s="29"/>
      <c r="E25" s="17"/>
      <c r="F25" s="17"/>
      <c r="G25" s="17"/>
      <c r="H25" s="17"/>
      <c r="I25" s="17"/>
      <c r="J25" s="29"/>
      <c r="K25" s="17"/>
      <c r="L25" s="17"/>
      <c r="M25" s="17"/>
      <c r="N25" s="17"/>
      <c r="O25" s="17"/>
      <c r="P25" s="29"/>
      <c r="Q25" s="17"/>
      <c r="R25" s="17"/>
      <c r="S25" s="17"/>
      <c r="T25" s="17"/>
      <c r="U25" s="17"/>
      <c r="V25" s="29"/>
      <c r="W25" s="17"/>
      <c r="X25" s="17"/>
      <c r="Y25" s="17"/>
      <c r="Z25" s="17"/>
      <c r="AA25" s="17"/>
    </row>
    <row r="26" spans="2:27" x14ac:dyDescent="0.35">
      <c r="B26" s="8" t="s">
        <v>29</v>
      </c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1" cm="1">
        <f t="array" ref="I26">Comm_MCS_ModOrd(I16,I17)</f>
        <v>8</v>
      </c>
      <c r="J26" s="28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" cm="1">
        <f t="array" ref="O26">Comm_MCS_ModOrd(O16,O17)</f>
        <v>8</v>
      </c>
      <c r="P26" s="28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" cm="1">
        <f t="array" ref="S26">Comm_MCS_ModOrd(S16,S17)</f>
        <v>8</v>
      </c>
      <c r="T26" s="1" cm="1">
        <f t="array" ref="T26">Comm_MCS_ModOrd(T16,T17)</f>
        <v>8</v>
      </c>
      <c r="U26" s="1" cm="1">
        <f t="array" ref="U26">Comm_MCS_ModOrd(U16,U17)</f>
        <v>8</v>
      </c>
      <c r="V26" s="28" cm="1">
        <f t="array" ref="V26">Comm_MCS_ModOrd(V16,V17)</f>
        <v>8</v>
      </c>
      <c r="W26" s="1" cm="1">
        <f t="array" ref="W26">Comm_MCS_ModOrd(W16,W17)</f>
        <v>8</v>
      </c>
      <c r="X26" s="1" cm="1">
        <f t="array" ref="X26">Comm_MCS_ModOrd(X16,X17)</f>
        <v>8</v>
      </c>
      <c r="Y26" s="1" cm="1">
        <f t="array" ref="Y26">Comm_MCS_ModOrd(Y16,Y17)</f>
        <v>8</v>
      </c>
      <c r="Z26" s="1" cm="1">
        <f t="array" ref="Z26">Comm_MCS_ModOrd(Z16,Z17)</f>
        <v>8</v>
      </c>
      <c r="AA26" s="1" cm="1">
        <f t="array" ref="AA26">Comm_MCS_ModOrd(AA16,AA17)</f>
        <v>8</v>
      </c>
    </row>
    <row r="27" spans="2:27" x14ac:dyDescent="0.35">
      <c r="B27" s="8" t="s">
        <v>30</v>
      </c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1" cm="1">
        <f t="array" ref="I27">Comm_MCS_CodeRate(I16,I17)</f>
        <v>948</v>
      </c>
      <c r="J27" s="28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" cm="1">
        <f t="array" ref="O27">Comm_MCS_CodeRate(O16,O17)</f>
        <v>948</v>
      </c>
      <c r="P27" s="28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" cm="1">
        <f t="array" ref="S27">Comm_MCS_CodeRate(S16,S17)</f>
        <v>948</v>
      </c>
      <c r="T27" s="1" cm="1">
        <f t="array" ref="T27">Comm_MCS_CodeRate(T16,T17)</f>
        <v>948</v>
      </c>
      <c r="U27" s="1" cm="1">
        <f t="array" ref="U27">Comm_MCS_CodeRate(U16,U17)</f>
        <v>948</v>
      </c>
      <c r="V27" s="28" cm="1">
        <f t="array" ref="V27">Comm_MCS_CodeRate(V16,V17)</f>
        <v>948</v>
      </c>
      <c r="W27" s="1" cm="1">
        <f t="array" ref="W27">Comm_MCS_CodeRate(W16,W17)</f>
        <v>948</v>
      </c>
      <c r="X27" s="1" cm="1">
        <f t="array" ref="X27">Comm_MCS_CodeRate(X16,X17)</f>
        <v>948</v>
      </c>
      <c r="Y27" s="1" cm="1">
        <f t="array" ref="Y27">Comm_MCS_CodeRate(Y16,Y17)</f>
        <v>948</v>
      </c>
      <c r="Z27" s="1" cm="1">
        <f t="array" ref="Z27">Comm_MCS_CodeRate(Z16,Z17)</f>
        <v>948</v>
      </c>
      <c r="AA27" s="1" cm="1">
        <f t="array" ref="AA27">Comm_MCS_CodeRate(AA16,AA17)</f>
        <v>948</v>
      </c>
    </row>
    <row r="28" spans="2:27" x14ac:dyDescent="0.35">
      <c r="B28" s="9" t="s">
        <v>31</v>
      </c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1" cm="1">
        <f t="array" ref="I28">Comm_Z(I11,I26,I27,I12,I13,I10/I18)</f>
        <v>384</v>
      </c>
      <c r="J28" s="28" cm="1">
        <f t="array" ref="J28">Comm_Z(J11,J26,J27,J12,J13,J10/J18)</f>
        <v>384</v>
      </c>
      <c r="K28" s="1" cm="1">
        <f t="array" ref="K28">Comm_Z(K11,K26,K27,K12,K13,K10/K18)</f>
        <v>384</v>
      </c>
      <c r="L28" s="1" cm="1">
        <f t="array" ref="L28">Comm_Z(L11,L26,L27,L12,L13,L10/L18)</f>
        <v>384</v>
      </c>
      <c r="M28" s="1" cm="1">
        <f t="array" ref="M28">Comm_Z(M11,M26,M27,M12,M13,M10/M18)</f>
        <v>384</v>
      </c>
      <c r="N28" s="1" cm="1">
        <f t="array" ref="N28">Comm_Z(N11,N26,N27,N12,N13,N10/N18)</f>
        <v>384</v>
      </c>
      <c r="O28" s="1" cm="1">
        <f t="array" ref="O28">Comm_Z(O11,O26,O27,O12,O13,O10/O18)</f>
        <v>384</v>
      </c>
      <c r="P28" s="28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" cm="1">
        <f t="array" ref="S28">Comm_Z(S11,S26,S27,S12,S13,S10/S18)</f>
        <v>384</v>
      </c>
      <c r="T28" s="1" cm="1">
        <f t="array" ref="T28">Comm_Z(T11,T26,T27,T12,T13,T10/T18)</f>
        <v>384</v>
      </c>
      <c r="U28" s="1" cm="1">
        <f t="array" ref="U28">Comm_Z(U11,U26,U27,U12,U13,U10/U18)</f>
        <v>384</v>
      </c>
      <c r="V28" s="28" cm="1">
        <f t="array" ref="V28">Comm_Z(V11,V26,V27,V12,V13,V10/V18)</f>
        <v>320</v>
      </c>
      <c r="W28" s="1" cm="1">
        <f t="array" ref="W28">Comm_Z(W11,W26,W27,W12,W13,W10/W18)</f>
        <v>320</v>
      </c>
      <c r="X28" s="1" cm="1">
        <f t="array" ref="X28">Comm_Z(X11,X26,X27,X12,X13,X10/X18)</f>
        <v>320</v>
      </c>
      <c r="Y28" s="1" cm="1">
        <f t="array" ref="Y28">Comm_Z(Y11,Y26,Y27,Y12,Y13,Y10/Y18)</f>
        <v>320</v>
      </c>
      <c r="Z28" s="1" cm="1">
        <f t="array" ref="Z28">Comm_Z(Z11,Z26,Z27,Z12,Z13,Z10/Z18)</f>
        <v>320</v>
      </c>
      <c r="AA28" s="1" cm="1">
        <f t="array" ref="AA28">Comm_Z(AA11,AA26,AA27,AA12,AA13,AA10/AA18)</f>
        <v>320</v>
      </c>
    </row>
    <row r="29" spans="2:27" x14ac:dyDescent="0.35">
      <c r="B29" s="9" t="s">
        <v>32</v>
      </c>
      <c r="D29" s="28" cm="1">
        <f t="array" ref="D29">Comm_TBS(D11,D26,D27,D12,D13,D10/D18)</f>
        <v>151608</v>
      </c>
      <c r="E29" s="1" cm="1">
        <f t="array" ref="E29">Comm_TBS(E11,E26,E27,E12,E13,E10/E18)</f>
        <v>151608</v>
      </c>
      <c r="F29" s="1" cm="1">
        <f t="array" ref="F29">Comm_TBS(F11,F26,F27,F12,F13,F10/F18)</f>
        <v>151608</v>
      </c>
      <c r="G29" s="1" cm="1">
        <f t="array" ref="G29">Comm_TBS(G11,G26,G27,G12,G13,G10/G18)</f>
        <v>151608</v>
      </c>
      <c r="H29" s="1" cm="1">
        <f t="array" ref="H29">Comm_TBS(H11,H26,H27,H12,H13,H10/H18)</f>
        <v>151608</v>
      </c>
      <c r="I29" s="1" cm="1">
        <f t="array" ref="I29">Comm_TBS(I11,I26,I27,I12,I13,I10/I18)</f>
        <v>151608</v>
      </c>
      <c r="J29" s="28" cm="1">
        <f t="array" ref="J29">Comm_TBS(J11,J26,J27,J12,J13,J10/J18)</f>
        <v>75792</v>
      </c>
      <c r="K29" s="1" cm="1">
        <f t="array" ref="K29">Comm_TBS(K11,K26,K27,K12,K13,K10/K18)</f>
        <v>75792</v>
      </c>
      <c r="L29" s="1" cm="1">
        <f t="array" ref="L29">Comm_TBS(L11,L26,L27,L12,L13,L10/L18)</f>
        <v>75792</v>
      </c>
      <c r="M29" s="1" cm="1">
        <f t="array" ref="M29">Comm_TBS(M11,M26,M27,M12,M13,M10/M18)</f>
        <v>75792</v>
      </c>
      <c r="N29" s="1" cm="1">
        <f t="array" ref="N29">Comm_TBS(N11,N26,N27,N12,N13,N10/N18)</f>
        <v>75792</v>
      </c>
      <c r="O29" s="1" cm="1">
        <f t="array" ref="O29">Comm_TBS(O11,O26,O27,O12,O13,O10/O18)</f>
        <v>75792</v>
      </c>
      <c r="P29" s="28" cm="1">
        <f t="array" ref="P29">Comm_TBS(P11,P26,P27,P12,P13,P10/P18)</f>
        <v>71688</v>
      </c>
      <c r="Q29" s="1" cm="1">
        <f t="array" ref="Q29">Comm_TBS(Q11,Q26,Q27,Q12,Q13,Q10/Q18)</f>
        <v>71688</v>
      </c>
      <c r="R29" s="1" cm="1">
        <f t="array" ref="R29">Comm_TBS(R11,R26,R27,R12,R13,R10/R18)</f>
        <v>71688</v>
      </c>
      <c r="S29" s="1" cm="1">
        <f t="array" ref="S29">Comm_TBS(S11,S26,S27,S12,S13,S10/S18)</f>
        <v>71688</v>
      </c>
      <c r="T29" s="1" cm="1">
        <f t="array" ref="T29">Comm_TBS(T11,T26,T27,T12,T13,T10/T18)</f>
        <v>71688</v>
      </c>
      <c r="U29" s="1" cm="1">
        <f t="array" ref="U29">Comm_TBS(U11,U26,U27,U12,U13,U10/U18)</f>
        <v>71688</v>
      </c>
      <c r="V29" s="28" cm="1">
        <f t="array" ref="V29">Comm_TBS(V11,V26,V27,V12,V13,V10/V18)</f>
        <v>33816</v>
      </c>
      <c r="W29" s="1" cm="1">
        <f t="array" ref="W29">Comm_TBS(W11,W26,W27,W12,W13,W10/W18)</f>
        <v>33816</v>
      </c>
      <c r="X29" s="1" cm="1">
        <f t="array" ref="X29">Comm_TBS(X11,X26,X27,X12,X13,X10/X18)</f>
        <v>33816</v>
      </c>
      <c r="Y29" s="1" cm="1">
        <f t="array" ref="Y29">Comm_TBS(Y11,Y26,Y27,Y12,Y13,Y10/Y18)</f>
        <v>33816</v>
      </c>
      <c r="Z29" s="1" cm="1">
        <f t="array" ref="Z29">Comm_TBS(Z11,Z26,Z27,Z12,Z13,Z10/Z18)</f>
        <v>33816</v>
      </c>
      <c r="AA29" s="1" cm="1">
        <f t="array" ref="AA29">Comm_TBS(AA11,AA26,AA27,AA12,AA13,AA10/AA18)</f>
        <v>33816</v>
      </c>
    </row>
    <row r="30" spans="2:27" x14ac:dyDescent="0.35">
      <c r="B30" s="9" t="s">
        <v>33</v>
      </c>
      <c r="D30" s="28" cm="1">
        <f t="array" ref="D30">Comm_CB(D11,D26,D27,D12,D13,D10/D18)</f>
        <v>18</v>
      </c>
      <c r="E30" s="1" cm="1">
        <f t="array" ref="E30">Comm_CB(E11,E26,E27,E12,E13,E10/E18)</f>
        <v>18</v>
      </c>
      <c r="F30" s="1" cm="1">
        <f t="array" ref="F30">Comm_CB(F11,F26,F27,F12,F13,F10/F18)</f>
        <v>18</v>
      </c>
      <c r="G30" s="1" cm="1">
        <f t="array" ref="G30">Comm_CB(G11,G26,G27,G12,G13,G10/G18)</f>
        <v>18</v>
      </c>
      <c r="H30" s="1" cm="1">
        <f t="array" ref="H30">Comm_CB(H11,H26,H27,H12,H13,H10/H18)</f>
        <v>18</v>
      </c>
      <c r="I30" s="1" cm="1">
        <f t="array" ref="I30">Comm_CB(I11,I26,I27,I12,I13,I10/I18)</f>
        <v>18</v>
      </c>
      <c r="J30" s="28" cm="1">
        <f t="array" ref="J30">Comm_CB(J11,J26,J27,J12,J13,J10/J18)</f>
        <v>9</v>
      </c>
      <c r="K30" s="1" cm="1">
        <f t="array" ref="K30">Comm_CB(K11,K26,K27,K12,K13,K10/K18)</f>
        <v>9</v>
      </c>
      <c r="L30" s="1" cm="1">
        <f t="array" ref="L30">Comm_CB(L11,L26,L27,L12,L13,L10/L18)</f>
        <v>9</v>
      </c>
      <c r="M30" s="1" cm="1">
        <f t="array" ref="M30">Comm_CB(M11,M26,M27,M12,M13,M10/M18)</f>
        <v>9</v>
      </c>
      <c r="N30" s="1" cm="1">
        <f t="array" ref="N30">Comm_CB(N11,N26,N27,N12,N13,N10/N18)</f>
        <v>9</v>
      </c>
      <c r="O30" s="1" cm="1">
        <f t="array" ref="O30">Comm_CB(O11,O26,O27,O12,O13,O10/O18)</f>
        <v>9</v>
      </c>
      <c r="P30" s="28" cm="1">
        <f t="array" ref="P30">Comm_CB(P11,P26,P27,P12,P13,P10/P18)</f>
        <v>9</v>
      </c>
      <c r="Q30" s="1" cm="1">
        <f t="array" ref="Q30">Comm_CB(Q11,Q26,Q27,Q12,Q13,Q10/Q18)</f>
        <v>9</v>
      </c>
      <c r="R30" s="1" cm="1">
        <f t="array" ref="R30">Comm_CB(R11,R26,R27,R12,R13,R10/R18)</f>
        <v>9</v>
      </c>
      <c r="S30" s="1" cm="1">
        <f t="array" ref="S30">Comm_CB(S11,S26,S27,S12,S13,S10/S18)</f>
        <v>9</v>
      </c>
      <c r="T30" s="1" cm="1">
        <f t="array" ref="T30">Comm_CB(T11,T26,T27,T12,T13,T10/T18)</f>
        <v>9</v>
      </c>
      <c r="U30" s="1" cm="1">
        <f t="array" ref="U30">Comm_CB(U11,U26,U27,U12,U13,U10/U18)</f>
        <v>9</v>
      </c>
      <c r="V30" s="28" cm="1">
        <f t="array" ref="V30">Comm_CB(V11,V26,V27,V12,V13,V10/V18)</f>
        <v>5</v>
      </c>
      <c r="W30" s="1" cm="1">
        <f t="array" ref="W30">Comm_CB(W11,W26,W27,W12,W13,W10/W18)</f>
        <v>5</v>
      </c>
      <c r="X30" s="1" cm="1">
        <f t="array" ref="X30">Comm_CB(X11,X26,X27,X12,X13,X10/X18)</f>
        <v>5</v>
      </c>
      <c r="Y30" s="1" cm="1">
        <f t="array" ref="Y30">Comm_CB(Y11,Y26,Y27,Y12,Y13,Y10/Y18)</f>
        <v>5</v>
      </c>
      <c r="Z30" s="1" cm="1">
        <f t="array" ref="Z30">Comm_CB(Z11,Z26,Z27,Z12,Z13,Z10/Z18)</f>
        <v>5</v>
      </c>
      <c r="AA30" s="1" cm="1">
        <f t="array" ref="AA30">Comm_CB(AA11,AA26,AA27,AA12,AA13,AA10/AA18)</f>
        <v>5</v>
      </c>
    </row>
    <row r="31" spans="2:27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0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0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31" cm="1">
        <f t="array" ref="S31">Comm_Parity_Nodes(S11,S26,S27,S12,S13,S10/S18)</f>
        <v>4</v>
      </c>
      <c r="T31" s="31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0" cm="1">
        <f t="array" ref="V31">Comm_Parity_Nodes(V11,V26,V27,V12,V13,V10/V18)</f>
        <v>4</v>
      </c>
      <c r="W31" s="31" cm="1">
        <f t="array" ref="W31">Comm_Parity_Nodes(W11,W26,W27,W12,W13,W10/W18)</f>
        <v>4</v>
      </c>
      <c r="X31" s="31" cm="1">
        <f t="array" ref="X31">Comm_Parity_Nodes(X11,X26,X27,X12,X13,X10/X18)</f>
        <v>4</v>
      </c>
      <c r="Y31" s="31" cm="1">
        <f t="array" ref="Y31">Comm_Parity_Nodes(Y11,Y26,Y27,Y12,Y13,Y10/Y18)</f>
        <v>4</v>
      </c>
      <c r="Z31" s="31" cm="1">
        <f t="array" ref="Z31">Comm_Parity_Nodes(Z11,Z26,Z27,Z12,Z13,Z10/Z18)</f>
        <v>4</v>
      </c>
      <c r="AA31" s="31" cm="1">
        <f t="array" ref="AA31">Comm_Parity_Nodes(AA11,AA26,AA27,AA12,AA13,AA10/AA18)</f>
        <v>4</v>
      </c>
    </row>
    <row r="32" spans="2:27" x14ac:dyDescent="0.35">
      <c r="B32" s="6" t="s">
        <v>35</v>
      </c>
      <c r="D32" s="29"/>
      <c r="E32" s="17"/>
      <c r="F32" s="17"/>
      <c r="G32" s="17"/>
      <c r="H32" s="17"/>
      <c r="I32" s="17"/>
      <c r="J32" s="29"/>
      <c r="K32" s="17"/>
      <c r="L32" s="17"/>
      <c r="M32" s="17"/>
      <c r="N32" s="17"/>
      <c r="O32" s="17"/>
      <c r="P32" s="29"/>
      <c r="Q32" s="17"/>
      <c r="R32" s="17"/>
      <c r="S32" s="17"/>
      <c r="T32" s="17"/>
      <c r="U32" s="17"/>
      <c r="V32" s="29"/>
      <c r="W32" s="17"/>
      <c r="X32" s="17"/>
      <c r="Y32" s="17"/>
      <c r="Z32" s="17"/>
      <c r="AA32" s="17"/>
    </row>
    <row r="33" spans="2:27" x14ac:dyDescent="0.35">
      <c r="B33" s="9" t="s">
        <v>36</v>
      </c>
      <c r="D33" s="26"/>
      <c r="J33" s="26"/>
      <c r="P33" s="26"/>
      <c r="V33" s="26"/>
    </row>
    <row r="34" spans="2:27" ht="15" thickBot="1" x14ac:dyDescent="0.4">
      <c r="B34" s="9" t="s">
        <v>56</v>
      </c>
      <c r="D34" s="38">
        <f>SUMPRODUCT(D18:I18, D29:I29) * 4  / 5 / 0.5/1000/1000</f>
        <v>1.4554368</v>
      </c>
      <c r="E34" s="32"/>
      <c r="F34" s="32"/>
      <c r="G34" s="32"/>
      <c r="H34" s="32"/>
      <c r="I34" s="32"/>
      <c r="J34" s="38">
        <f>SUMPRODUCT(J18:O18, J29:O29) * 4  / 5 / 0.5/1000/1000</f>
        <v>0.72760319999999989</v>
      </c>
      <c r="K34" s="32"/>
      <c r="L34" s="32"/>
      <c r="M34" s="32"/>
      <c r="N34" s="32"/>
      <c r="O34" s="32"/>
      <c r="P34" s="38">
        <f>SUMPRODUCT(P18:U18, P29:U29) * 4  / 5 / 0.5/1000/1000</f>
        <v>0.68820480000000006</v>
      </c>
      <c r="Q34" s="32"/>
      <c r="R34" s="32"/>
      <c r="S34" s="32"/>
      <c r="T34" s="32"/>
      <c r="U34" s="32"/>
      <c r="V34" s="38">
        <f>SUMPRODUCT(V18:AA18, V29:AA29) * 4  / 5 / 0.5/1000/1000</f>
        <v>0.32463360000000002</v>
      </c>
      <c r="W34" s="32"/>
      <c r="X34" s="32"/>
      <c r="Y34" s="32"/>
      <c r="Z34" s="32"/>
      <c r="AA34" s="32"/>
    </row>
    <row r="36" spans="2:27" x14ac:dyDescent="0.35">
      <c r="D36" s="1"/>
      <c r="E36" s="1"/>
      <c r="F36" s="1"/>
      <c r="G36" s="1"/>
      <c r="H36" s="1"/>
      <c r="I36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D2CC3-C9D7-4A3B-862D-82924E59EFD0}">
  <dimension ref="B1:BE35"/>
  <sheetViews>
    <sheetView topLeftCell="A6" workbookViewId="0">
      <selection activeCell="D34" sqref="D3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57" ht="15" thickBot="1" x14ac:dyDescent="0.4"/>
    <row r="2" spans="2:57" x14ac:dyDescent="0.35">
      <c r="B2" s="2" t="s">
        <v>0</v>
      </c>
      <c r="C2" s="1"/>
      <c r="D2" s="21" t="s">
        <v>103</v>
      </c>
      <c r="E2" s="22"/>
      <c r="F2" s="22"/>
      <c r="G2" s="22"/>
      <c r="H2" s="22"/>
      <c r="I2" s="21" t="s">
        <v>105</v>
      </c>
      <c r="J2" s="22"/>
      <c r="K2" s="22"/>
      <c r="L2" s="22"/>
      <c r="M2" s="22"/>
      <c r="N2" s="21" t="s">
        <v>106</v>
      </c>
      <c r="O2" s="22"/>
      <c r="P2" s="22"/>
      <c r="Q2" s="22"/>
      <c r="R2" s="22"/>
      <c r="S2" s="22"/>
      <c r="T2" s="21" t="s">
        <v>107</v>
      </c>
      <c r="U2" s="22"/>
      <c r="V2" s="22"/>
      <c r="W2" s="22"/>
      <c r="X2" s="22"/>
      <c r="Y2" s="22"/>
      <c r="Z2" s="21" t="s">
        <v>108</v>
      </c>
      <c r="AA2" s="22"/>
      <c r="AB2" s="22"/>
      <c r="AC2" s="22"/>
      <c r="AD2" s="22"/>
      <c r="AE2" s="21" t="s">
        <v>109</v>
      </c>
      <c r="AF2" s="22"/>
      <c r="AG2" s="22"/>
      <c r="AH2" s="22"/>
      <c r="AI2" s="22"/>
      <c r="AJ2" s="21" t="s">
        <v>110</v>
      </c>
      <c r="AK2" s="22"/>
      <c r="AL2" s="22"/>
      <c r="AM2" s="22"/>
      <c r="AN2" s="22"/>
      <c r="AO2" s="22"/>
      <c r="AP2" s="21" t="s">
        <v>111</v>
      </c>
      <c r="AQ2" s="22"/>
      <c r="AR2" s="22"/>
      <c r="AS2" s="22"/>
      <c r="AT2" s="22"/>
      <c r="AU2" s="22"/>
      <c r="AV2" s="21" t="s">
        <v>112</v>
      </c>
      <c r="AW2" s="22"/>
      <c r="AX2" s="22"/>
      <c r="AY2" s="22"/>
      <c r="AZ2" s="22"/>
      <c r="BA2" s="21" t="s">
        <v>113</v>
      </c>
      <c r="BB2" s="22"/>
      <c r="BC2" s="22"/>
      <c r="BD2" s="22"/>
      <c r="BE2" s="22"/>
    </row>
    <row r="3" spans="2:57" x14ac:dyDescent="0.35">
      <c r="B3" s="3" t="s">
        <v>3</v>
      </c>
      <c r="C3" s="1"/>
      <c r="D3" s="26">
        <v>100</v>
      </c>
      <c r="E3">
        <v>100</v>
      </c>
      <c r="F3">
        <v>100</v>
      </c>
      <c r="G3">
        <v>100</v>
      </c>
      <c r="H3">
        <v>100</v>
      </c>
      <c r="I3" s="26">
        <v>100</v>
      </c>
      <c r="J3">
        <v>100</v>
      </c>
      <c r="K3">
        <v>100</v>
      </c>
      <c r="L3">
        <v>100</v>
      </c>
      <c r="M3">
        <v>100</v>
      </c>
      <c r="N3" s="26">
        <v>80</v>
      </c>
      <c r="O3">
        <v>80</v>
      </c>
      <c r="P3">
        <v>80</v>
      </c>
      <c r="Q3">
        <v>80</v>
      </c>
      <c r="R3">
        <v>80</v>
      </c>
      <c r="S3">
        <v>80</v>
      </c>
      <c r="T3" s="26">
        <v>80</v>
      </c>
      <c r="U3">
        <v>80</v>
      </c>
      <c r="V3">
        <v>80</v>
      </c>
      <c r="W3">
        <v>80</v>
      </c>
      <c r="X3">
        <v>80</v>
      </c>
      <c r="Y3">
        <v>80</v>
      </c>
      <c r="Z3" s="26">
        <v>80</v>
      </c>
      <c r="AA3">
        <v>80</v>
      </c>
      <c r="AB3">
        <v>80</v>
      </c>
      <c r="AC3">
        <v>80</v>
      </c>
      <c r="AD3">
        <v>80</v>
      </c>
      <c r="AE3" s="26">
        <v>80</v>
      </c>
      <c r="AF3">
        <v>80</v>
      </c>
      <c r="AG3">
        <v>80</v>
      </c>
      <c r="AH3">
        <v>80</v>
      </c>
      <c r="AI3">
        <v>80</v>
      </c>
      <c r="AJ3" s="26">
        <v>40</v>
      </c>
      <c r="AK3">
        <v>40</v>
      </c>
      <c r="AL3">
        <v>40</v>
      </c>
      <c r="AM3">
        <v>40</v>
      </c>
      <c r="AN3">
        <v>40</v>
      </c>
      <c r="AO3">
        <v>40</v>
      </c>
      <c r="AP3" s="26">
        <v>40</v>
      </c>
      <c r="AQ3">
        <v>40</v>
      </c>
      <c r="AR3">
        <v>40</v>
      </c>
      <c r="AS3">
        <v>40</v>
      </c>
      <c r="AT3">
        <v>40</v>
      </c>
      <c r="AU3">
        <v>40</v>
      </c>
      <c r="AV3" s="26">
        <v>40</v>
      </c>
      <c r="AW3">
        <v>40</v>
      </c>
      <c r="AX3">
        <v>40</v>
      </c>
      <c r="AY3">
        <v>40</v>
      </c>
      <c r="AZ3">
        <v>40</v>
      </c>
      <c r="BA3" s="26">
        <v>40</v>
      </c>
      <c r="BB3">
        <v>40</v>
      </c>
      <c r="BC3">
        <v>40</v>
      </c>
      <c r="BD3">
        <v>40</v>
      </c>
      <c r="BE3">
        <v>40</v>
      </c>
    </row>
    <row r="4" spans="2:57" x14ac:dyDescent="0.35">
      <c r="B4" s="3" t="s">
        <v>4</v>
      </c>
      <c r="C4" s="1"/>
      <c r="D4" s="26">
        <v>273</v>
      </c>
      <c r="E4">
        <v>273</v>
      </c>
      <c r="F4">
        <v>273</v>
      </c>
      <c r="G4">
        <v>273</v>
      </c>
      <c r="H4">
        <v>273</v>
      </c>
      <c r="I4" s="26">
        <v>273</v>
      </c>
      <c r="J4">
        <v>273</v>
      </c>
      <c r="K4">
        <v>273</v>
      </c>
      <c r="L4">
        <v>273</v>
      </c>
      <c r="M4">
        <v>273</v>
      </c>
      <c r="N4" s="26">
        <v>217</v>
      </c>
      <c r="O4">
        <v>217</v>
      </c>
      <c r="P4">
        <v>217</v>
      </c>
      <c r="Q4">
        <v>217</v>
      </c>
      <c r="R4">
        <v>217</v>
      </c>
      <c r="S4">
        <v>217</v>
      </c>
      <c r="T4" s="26">
        <v>217</v>
      </c>
      <c r="U4">
        <v>217</v>
      </c>
      <c r="V4">
        <v>217</v>
      </c>
      <c r="W4">
        <v>217</v>
      </c>
      <c r="X4">
        <v>217</v>
      </c>
      <c r="Y4">
        <v>217</v>
      </c>
      <c r="Z4" s="26">
        <v>217</v>
      </c>
      <c r="AA4">
        <v>217</v>
      </c>
      <c r="AB4">
        <v>217</v>
      </c>
      <c r="AC4">
        <v>217</v>
      </c>
      <c r="AD4">
        <v>217</v>
      </c>
      <c r="AE4" s="26">
        <v>217</v>
      </c>
      <c r="AF4">
        <v>217</v>
      </c>
      <c r="AG4">
        <v>217</v>
      </c>
      <c r="AH4">
        <v>217</v>
      </c>
      <c r="AI4">
        <v>217</v>
      </c>
      <c r="AJ4" s="26">
        <v>106</v>
      </c>
      <c r="AK4">
        <v>106</v>
      </c>
      <c r="AL4">
        <v>106</v>
      </c>
      <c r="AM4">
        <v>106</v>
      </c>
      <c r="AN4">
        <v>106</v>
      </c>
      <c r="AO4">
        <v>106</v>
      </c>
      <c r="AP4" s="26">
        <v>106</v>
      </c>
      <c r="AQ4">
        <v>106</v>
      </c>
      <c r="AR4">
        <v>106</v>
      </c>
      <c r="AS4">
        <v>106</v>
      </c>
      <c r="AT4">
        <v>106</v>
      </c>
      <c r="AU4">
        <v>106</v>
      </c>
      <c r="AV4" s="26">
        <v>106</v>
      </c>
      <c r="AW4">
        <v>106</v>
      </c>
      <c r="AX4">
        <v>106</v>
      </c>
      <c r="AY4">
        <v>106</v>
      </c>
      <c r="AZ4">
        <v>106</v>
      </c>
      <c r="BA4" s="26">
        <v>106</v>
      </c>
      <c r="BB4">
        <v>106</v>
      </c>
      <c r="BC4">
        <v>106</v>
      </c>
      <c r="BD4">
        <v>106</v>
      </c>
      <c r="BE4">
        <v>106</v>
      </c>
    </row>
    <row r="5" spans="2:57" x14ac:dyDescent="0.35">
      <c r="B5" s="3" t="s">
        <v>5</v>
      </c>
      <c r="D5" s="26">
        <v>273</v>
      </c>
      <c r="E5">
        <v>273</v>
      </c>
      <c r="F5">
        <v>273</v>
      </c>
      <c r="G5">
        <v>273</v>
      </c>
      <c r="H5">
        <v>273</v>
      </c>
      <c r="I5" s="26">
        <v>273</v>
      </c>
      <c r="J5">
        <v>273</v>
      </c>
      <c r="K5">
        <v>273</v>
      </c>
      <c r="L5">
        <v>273</v>
      </c>
      <c r="M5">
        <v>273</v>
      </c>
      <c r="N5" s="26">
        <v>217</v>
      </c>
      <c r="O5">
        <v>217</v>
      </c>
      <c r="P5">
        <v>217</v>
      </c>
      <c r="Q5">
        <v>217</v>
      </c>
      <c r="R5">
        <v>217</v>
      </c>
      <c r="S5">
        <v>217</v>
      </c>
      <c r="T5" s="26">
        <v>217</v>
      </c>
      <c r="U5">
        <v>217</v>
      </c>
      <c r="V5">
        <v>217</v>
      </c>
      <c r="W5">
        <v>217</v>
      </c>
      <c r="X5">
        <v>217</v>
      </c>
      <c r="Y5">
        <v>217</v>
      </c>
      <c r="Z5" s="26">
        <v>217</v>
      </c>
      <c r="AA5">
        <v>217</v>
      </c>
      <c r="AB5">
        <v>217</v>
      </c>
      <c r="AC5">
        <v>217</v>
      </c>
      <c r="AD5">
        <v>217</v>
      </c>
      <c r="AE5" s="26">
        <v>217</v>
      </c>
      <c r="AF5">
        <v>217</v>
      </c>
      <c r="AG5">
        <v>217</v>
      </c>
      <c r="AH5">
        <v>217</v>
      </c>
      <c r="AI5">
        <v>217</v>
      </c>
      <c r="AJ5" s="26">
        <v>106</v>
      </c>
      <c r="AK5">
        <v>106</v>
      </c>
      <c r="AL5">
        <v>106</v>
      </c>
      <c r="AM5">
        <v>106</v>
      </c>
      <c r="AN5">
        <v>106</v>
      </c>
      <c r="AO5">
        <v>106</v>
      </c>
      <c r="AP5" s="26">
        <v>106</v>
      </c>
      <c r="AQ5">
        <v>106</v>
      </c>
      <c r="AR5">
        <v>106</v>
      </c>
      <c r="AS5">
        <v>106</v>
      </c>
      <c r="AT5">
        <v>106</v>
      </c>
      <c r="AU5">
        <v>106</v>
      </c>
      <c r="AV5" s="26">
        <v>106</v>
      </c>
      <c r="AW5">
        <v>106</v>
      </c>
      <c r="AX5">
        <v>106</v>
      </c>
      <c r="AY5">
        <v>106</v>
      </c>
      <c r="AZ5">
        <v>106</v>
      </c>
      <c r="BA5" s="26">
        <v>106</v>
      </c>
      <c r="BB5">
        <v>106</v>
      </c>
      <c r="BC5">
        <v>106</v>
      </c>
      <c r="BD5">
        <v>106</v>
      </c>
      <c r="BE5">
        <v>106</v>
      </c>
    </row>
    <row r="6" spans="2:57" x14ac:dyDescent="0.35">
      <c r="B6" s="3" t="s">
        <v>6</v>
      </c>
      <c r="C6" s="1"/>
      <c r="D6" s="28">
        <v>1</v>
      </c>
      <c r="E6" s="1">
        <v>2</v>
      </c>
      <c r="F6" s="1">
        <v>3</v>
      </c>
      <c r="G6" s="1">
        <v>4</v>
      </c>
      <c r="H6" s="1">
        <v>5</v>
      </c>
      <c r="I6" s="28">
        <v>1</v>
      </c>
      <c r="J6" s="1">
        <v>2</v>
      </c>
      <c r="K6" s="1">
        <v>3</v>
      </c>
      <c r="L6" s="1">
        <v>4</v>
      </c>
      <c r="M6" s="1">
        <v>5</v>
      </c>
      <c r="N6" s="28">
        <v>1</v>
      </c>
      <c r="O6" s="1">
        <v>2</v>
      </c>
      <c r="P6" s="1">
        <v>3</v>
      </c>
      <c r="Q6" s="1">
        <v>4</v>
      </c>
      <c r="R6" s="1">
        <v>5</v>
      </c>
      <c r="S6" s="1">
        <v>6</v>
      </c>
      <c r="T6" s="28">
        <v>1</v>
      </c>
      <c r="U6" s="1">
        <v>2</v>
      </c>
      <c r="V6" s="1">
        <v>3</v>
      </c>
      <c r="W6" s="1">
        <v>4</v>
      </c>
      <c r="X6" s="1">
        <v>5</v>
      </c>
      <c r="Y6" s="1">
        <v>6</v>
      </c>
      <c r="Z6" s="28">
        <v>1</v>
      </c>
      <c r="AA6" s="1">
        <v>2</v>
      </c>
      <c r="AB6" s="1">
        <v>3</v>
      </c>
      <c r="AC6" s="1">
        <v>4</v>
      </c>
      <c r="AD6" s="1">
        <v>5</v>
      </c>
      <c r="AE6" s="28">
        <v>1</v>
      </c>
      <c r="AF6" s="1">
        <v>2</v>
      </c>
      <c r="AG6" s="1">
        <v>3</v>
      </c>
      <c r="AH6" s="1">
        <v>4</v>
      </c>
      <c r="AI6" s="1">
        <v>5</v>
      </c>
      <c r="AJ6" s="28">
        <v>1</v>
      </c>
      <c r="AK6" s="1">
        <v>2</v>
      </c>
      <c r="AL6" s="1">
        <v>3</v>
      </c>
      <c r="AM6" s="1">
        <v>4</v>
      </c>
      <c r="AN6" s="1">
        <v>5</v>
      </c>
      <c r="AO6" s="1">
        <v>6</v>
      </c>
      <c r="AP6" s="28">
        <v>1</v>
      </c>
      <c r="AQ6" s="1">
        <v>2</v>
      </c>
      <c r="AR6" s="1">
        <v>3</v>
      </c>
      <c r="AS6" s="1">
        <v>4</v>
      </c>
      <c r="AT6" s="1">
        <v>5</v>
      </c>
      <c r="AU6" s="1">
        <v>6</v>
      </c>
      <c r="AV6" s="28">
        <v>1</v>
      </c>
      <c r="AW6" s="1">
        <v>2</v>
      </c>
      <c r="AX6" s="1">
        <v>3</v>
      </c>
      <c r="AY6" s="1">
        <v>4</v>
      </c>
      <c r="AZ6" s="1">
        <v>5</v>
      </c>
      <c r="BA6" s="28">
        <v>1</v>
      </c>
      <c r="BB6" s="1">
        <v>2</v>
      </c>
      <c r="BC6" s="1">
        <v>3</v>
      </c>
      <c r="BD6" s="1">
        <v>4</v>
      </c>
      <c r="BE6" s="1">
        <v>5</v>
      </c>
    </row>
    <row r="7" spans="2:57" x14ac:dyDescent="0.35">
      <c r="B7" s="3" t="s">
        <v>7</v>
      </c>
      <c r="C7" s="1"/>
      <c r="D7" s="27">
        <f>D11/D5</f>
        <v>0.19780219780219779</v>
      </c>
      <c r="E7" s="14">
        <f t="shared" ref="E7:H7" si="0">E11/E5</f>
        <v>0.19780219780219779</v>
      </c>
      <c r="F7" s="14">
        <f t="shared" si="0"/>
        <v>0.19780219780219779</v>
      </c>
      <c r="G7" s="14">
        <f t="shared" si="0"/>
        <v>0.19780219780219779</v>
      </c>
      <c r="H7" s="14">
        <f t="shared" si="0"/>
        <v>0.19780219780219779</v>
      </c>
      <c r="I7" s="27">
        <f>I11/I5</f>
        <v>9.8901098901098897E-2</v>
      </c>
      <c r="J7" s="14">
        <f t="shared" ref="J7:M7" si="1">J11/J5</f>
        <v>9.8901098901098897E-2</v>
      </c>
      <c r="K7" s="14">
        <f t="shared" si="1"/>
        <v>9.8901098901098897E-2</v>
      </c>
      <c r="L7" s="14">
        <f t="shared" si="1"/>
        <v>9.8901098901098897E-2</v>
      </c>
      <c r="M7" s="14">
        <f t="shared" si="1"/>
        <v>9.8901098901098897E-2</v>
      </c>
      <c r="N7" s="27">
        <f>N11/N5</f>
        <v>0.16589861751152074</v>
      </c>
      <c r="O7" s="14">
        <f t="shared" ref="O7:R7" si="2">O11/O5</f>
        <v>0.16589861751152074</v>
      </c>
      <c r="P7" s="14">
        <f t="shared" si="2"/>
        <v>0.16589861751152074</v>
      </c>
      <c r="Q7" s="14">
        <f t="shared" si="2"/>
        <v>0.16589861751152074</v>
      </c>
      <c r="R7" s="14">
        <f t="shared" si="2"/>
        <v>0.16589861751152074</v>
      </c>
      <c r="S7" s="14">
        <f t="shared" ref="S7" si="3">S11/S5</f>
        <v>0.16589861751152074</v>
      </c>
      <c r="T7" s="27">
        <f>T11/T5</f>
        <v>8.294930875576037E-2</v>
      </c>
      <c r="U7" s="14">
        <f t="shared" ref="U7:Y7" si="4">U11/U5</f>
        <v>8.294930875576037E-2</v>
      </c>
      <c r="V7" s="14">
        <f t="shared" si="4"/>
        <v>8.294930875576037E-2</v>
      </c>
      <c r="W7" s="14">
        <f t="shared" si="4"/>
        <v>8.294930875576037E-2</v>
      </c>
      <c r="X7" s="14">
        <f t="shared" si="4"/>
        <v>8.294930875576037E-2</v>
      </c>
      <c r="Y7" s="14">
        <f t="shared" si="4"/>
        <v>8.294930875576037E-2</v>
      </c>
      <c r="Z7" s="27">
        <f>Z11/Z5</f>
        <v>0.19815668202764977</v>
      </c>
      <c r="AA7" s="14">
        <f t="shared" ref="AA7:AD7" si="5">AA11/AA5</f>
        <v>0.19815668202764977</v>
      </c>
      <c r="AB7" s="14">
        <f t="shared" si="5"/>
        <v>0.19815668202764977</v>
      </c>
      <c r="AC7" s="14">
        <f t="shared" si="5"/>
        <v>0.19815668202764977</v>
      </c>
      <c r="AD7" s="14">
        <f t="shared" si="5"/>
        <v>0.19815668202764977</v>
      </c>
      <c r="AE7" s="27">
        <f>AE11/AE5</f>
        <v>9.6774193548387094E-2</v>
      </c>
      <c r="AF7" s="14">
        <f t="shared" ref="AF7:AI7" si="6">AF11/AF5</f>
        <v>9.6774193548387094E-2</v>
      </c>
      <c r="AG7" s="14">
        <f t="shared" si="6"/>
        <v>9.6774193548387094E-2</v>
      </c>
      <c r="AH7" s="14">
        <f t="shared" si="6"/>
        <v>9.6774193548387094E-2</v>
      </c>
      <c r="AI7" s="14">
        <f t="shared" si="6"/>
        <v>9.6774193548387094E-2</v>
      </c>
      <c r="AJ7" s="27">
        <f>AJ11/AJ5</f>
        <v>0.16037735849056603</v>
      </c>
      <c r="AK7" s="14">
        <f t="shared" ref="AK7:AO7" si="7">AK11/AK5</f>
        <v>0.16037735849056603</v>
      </c>
      <c r="AL7" s="14">
        <f t="shared" si="7"/>
        <v>0.16037735849056603</v>
      </c>
      <c r="AM7" s="14">
        <f t="shared" si="7"/>
        <v>0.16037735849056603</v>
      </c>
      <c r="AN7" s="14">
        <f t="shared" si="7"/>
        <v>0.16037735849056603</v>
      </c>
      <c r="AO7" s="14">
        <f t="shared" si="7"/>
        <v>0.16037735849056603</v>
      </c>
      <c r="AP7" s="27">
        <f>AP11/AP5</f>
        <v>7.5471698113207544E-2</v>
      </c>
      <c r="AQ7" s="14">
        <f t="shared" ref="AQ7:AU7" si="8">AQ11/AQ5</f>
        <v>7.5471698113207544E-2</v>
      </c>
      <c r="AR7" s="14">
        <f t="shared" si="8"/>
        <v>7.5471698113207544E-2</v>
      </c>
      <c r="AS7" s="14">
        <f t="shared" si="8"/>
        <v>7.5471698113207544E-2</v>
      </c>
      <c r="AT7" s="14">
        <f t="shared" si="8"/>
        <v>7.5471698113207544E-2</v>
      </c>
      <c r="AU7" s="14">
        <f t="shared" si="8"/>
        <v>7.5471698113207544E-2</v>
      </c>
      <c r="AV7" s="27">
        <f>AV11/AV5</f>
        <v>0.19811320754716982</v>
      </c>
      <c r="AW7" s="14">
        <f t="shared" ref="AW7:AZ7" si="9">AW11/AW5</f>
        <v>0.19811320754716982</v>
      </c>
      <c r="AX7" s="14">
        <f t="shared" si="9"/>
        <v>0.19811320754716982</v>
      </c>
      <c r="AY7" s="14">
        <f t="shared" si="9"/>
        <v>0.19811320754716982</v>
      </c>
      <c r="AZ7" s="14">
        <f t="shared" si="9"/>
        <v>0.19811320754716982</v>
      </c>
      <c r="BA7" s="27">
        <f>BA11/BA5</f>
        <v>9.4339622641509441E-2</v>
      </c>
      <c r="BB7" s="14">
        <f t="shared" ref="BB7:BE7" si="10">BB11/BB5</f>
        <v>9.4339622641509441E-2</v>
      </c>
      <c r="BC7" s="14">
        <f t="shared" si="10"/>
        <v>9.4339622641509441E-2</v>
      </c>
      <c r="BD7" s="14">
        <f t="shared" si="10"/>
        <v>9.4339622641509441E-2</v>
      </c>
      <c r="BE7" s="14">
        <f t="shared" si="10"/>
        <v>9.4339622641509441E-2</v>
      </c>
    </row>
    <row r="8" spans="2:57" x14ac:dyDescent="0.35">
      <c r="B8" s="4" t="s">
        <v>8</v>
      </c>
      <c r="C8" s="1"/>
      <c r="D8" s="26">
        <v>1</v>
      </c>
      <c r="E8">
        <v>1</v>
      </c>
      <c r="F8">
        <v>1</v>
      </c>
      <c r="G8">
        <v>1</v>
      </c>
      <c r="H8">
        <v>1</v>
      </c>
      <c r="I8" s="26">
        <v>1</v>
      </c>
      <c r="J8">
        <v>1</v>
      </c>
      <c r="K8">
        <v>1</v>
      </c>
      <c r="L8">
        <v>1</v>
      </c>
      <c r="M8">
        <v>1</v>
      </c>
      <c r="N8" s="26">
        <v>1</v>
      </c>
      <c r="O8">
        <v>1</v>
      </c>
      <c r="P8">
        <v>1</v>
      </c>
      <c r="Q8">
        <v>1</v>
      </c>
      <c r="R8">
        <v>1</v>
      </c>
      <c r="S8">
        <v>1</v>
      </c>
      <c r="T8" s="26">
        <v>1</v>
      </c>
      <c r="U8">
        <v>1</v>
      </c>
      <c r="V8">
        <v>1</v>
      </c>
      <c r="W8">
        <v>1</v>
      </c>
      <c r="X8">
        <v>1</v>
      </c>
      <c r="Y8">
        <v>1</v>
      </c>
      <c r="Z8" s="26">
        <v>1</v>
      </c>
      <c r="AA8">
        <v>1</v>
      </c>
      <c r="AB8">
        <v>1</v>
      </c>
      <c r="AC8">
        <v>1</v>
      </c>
      <c r="AD8">
        <v>1</v>
      </c>
      <c r="AE8" s="26">
        <v>1</v>
      </c>
      <c r="AF8">
        <v>1</v>
      </c>
      <c r="AG8">
        <v>1</v>
      </c>
      <c r="AH8">
        <v>1</v>
      </c>
      <c r="AI8">
        <v>1</v>
      </c>
      <c r="AJ8" s="26">
        <v>1</v>
      </c>
      <c r="AK8">
        <v>1</v>
      </c>
      <c r="AL8">
        <v>1</v>
      </c>
      <c r="AM8">
        <v>1</v>
      </c>
      <c r="AN8">
        <v>1</v>
      </c>
      <c r="AO8">
        <v>1</v>
      </c>
      <c r="AP8" s="26">
        <v>1</v>
      </c>
      <c r="AQ8">
        <v>1</v>
      </c>
      <c r="AR8">
        <v>1</v>
      </c>
      <c r="AS8">
        <v>1</v>
      </c>
      <c r="AT8">
        <v>1</v>
      </c>
      <c r="AU8">
        <v>1</v>
      </c>
      <c r="AV8" s="26">
        <v>1</v>
      </c>
      <c r="AW8">
        <v>1</v>
      </c>
      <c r="AX8">
        <v>1</v>
      </c>
      <c r="AY8">
        <v>1</v>
      </c>
      <c r="AZ8">
        <v>1</v>
      </c>
      <c r="BA8" s="26">
        <v>1</v>
      </c>
      <c r="BB8">
        <v>1</v>
      </c>
      <c r="BC8">
        <v>1</v>
      </c>
      <c r="BD8">
        <v>1</v>
      </c>
      <c r="BE8">
        <v>1</v>
      </c>
    </row>
    <row r="9" spans="2:57" x14ac:dyDescent="0.35">
      <c r="B9" s="4" t="s">
        <v>9</v>
      </c>
      <c r="C9" s="1"/>
      <c r="D9" s="26">
        <v>4</v>
      </c>
      <c r="E9">
        <v>4</v>
      </c>
      <c r="F9">
        <v>4</v>
      </c>
      <c r="G9">
        <v>4</v>
      </c>
      <c r="H9">
        <v>4</v>
      </c>
      <c r="I9" s="26">
        <v>4</v>
      </c>
      <c r="J9">
        <v>4</v>
      </c>
      <c r="K9">
        <v>4</v>
      </c>
      <c r="L9">
        <v>4</v>
      </c>
      <c r="M9">
        <v>4</v>
      </c>
      <c r="N9" s="26">
        <v>4</v>
      </c>
      <c r="O9">
        <v>4</v>
      </c>
      <c r="P9">
        <v>4</v>
      </c>
      <c r="Q9">
        <v>4</v>
      </c>
      <c r="R9">
        <v>4</v>
      </c>
      <c r="S9">
        <v>4</v>
      </c>
      <c r="T9" s="26">
        <v>4</v>
      </c>
      <c r="U9">
        <v>4</v>
      </c>
      <c r="V9">
        <v>4</v>
      </c>
      <c r="W9">
        <v>4</v>
      </c>
      <c r="X9">
        <v>4</v>
      </c>
      <c r="Y9">
        <v>4</v>
      </c>
      <c r="Z9" s="26">
        <v>4</v>
      </c>
      <c r="AA9">
        <v>4</v>
      </c>
      <c r="AB9">
        <v>4</v>
      </c>
      <c r="AC9">
        <v>4</v>
      </c>
      <c r="AD9">
        <v>4</v>
      </c>
      <c r="AE9" s="26">
        <v>4</v>
      </c>
      <c r="AF9">
        <v>4</v>
      </c>
      <c r="AG9">
        <v>4</v>
      </c>
      <c r="AH9">
        <v>4</v>
      </c>
      <c r="AI9">
        <v>4</v>
      </c>
      <c r="AJ9" s="26">
        <v>4</v>
      </c>
      <c r="AK9">
        <v>4</v>
      </c>
      <c r="AL9">
        <v>4</v>
      </c>
      <c r="AM9">
        <v>4</v>
      </c>
      <c r="AN9">
        <v>4</v>
      </c>
      <c r="AO9">
        <v>4</v>
      </c>
      <c r="AP9" s="26">
        <v>4</v>
      </c>
      <c r="AQ9">
        <v>4</v>
      </c>
      <c r="AR9">
        <v>4</v>
      </c>
      <c r="AS9">
        <v>4</v>
      </c>
      <c r="AT9">
        <v>4</v>
      </c>
      <c r="AU9">
        <v>4</v>
      </c>
      <c r="AV9" s="26">
        <v>4</v>
      </c>
      <c r="AW9">
        <v>4</v>
      </c>
      <c r="AX9">
        <v>4</v>
      </c>
      <c r="AY9">
        <v>4</v>
      </c>
      <c r="AZ9">
        <v>4</v>
      </c>
      <c r="BA9" s="26">
        <v>4</v>
      </c>
      <c r="BB9">
        <v>4</v>
      </c>
      <c r="BC9">
        <v>4</v>
      </c>
      <c r="BD9">
        <v>4</v>
      </c>
      <c r="BE9">
        <v>4</v>
      </c>
    </row>
    <row r="10" spans="2:57" x14ac:dyDescent="0.35">
      <c r="B10" s="4" t="s">
        <v>10</v>
      </c>
      <c r="C10" s="1"/>
      <c r="D10" s="26">
        <v>1</v>
      </c>
      <c r="E10">
        <v>1</v>
      </c>
      <c r="F10">
        <v>2</v>
      </c>
      <c r="G10">
        <v>2</v>
      </c>
      <c r="H10">
        <v>2</v>
      </c>
      <c r="I10" s="26">
        <v>1</v>
      </c>
      <c r="J10">
        <v>1</v>
      </c>
      <c r="K10">
        <v>2</v>
      </c>
      <c r="L10">
        <v>2</v>
      </c>
      <c r="M10">
        <v>2</v>
      </c>
      <c r="N10" s="26">
        <v>2</v>
      </c>
      <c r="O10">
        <v>2</v>
      </c>
      <c r="P10">
        <v>2</v>
      </c>
      <c r="Q10">
        <v>2</v>
      </c>
      <c r="R10">
        <v>2</v>
      </c>
      <c r="S10">
        <v>2</v>
      </c>
      <c r="T10" s="26">
        <v>2</v>
      </c>
      <c r="U10">
        <v>2</v>
      </c>
      <c r="V10">
        <v>2</v>
      </c>
      <c r="W10">
        <v>2</v>
      </c>
      <c r="X10">
        <v>2</v>
      </c>
      <c r="Y10">
        <v>2</v>
      </c>
      <c r="Z10" s="26">
        <v>1</v>
      </c>
      <c r="AA10">
        <v>1</v>
      </c>
      <c r="AB10">
        <v>2</v>
      </c>
      <c r="AC10">
        <v>2</v>
      </c>
      <c r="AD10">
        <v>2</v>
      </c>
      <c r="AE10" s="26">
        <v>1</v>
      </c>
      <c r="AF10">
        <v>1</v>
      </c>
      <c r="AG10">
        <v>2</v>
      </c>
      <c r="AH10">
        <v>2</v>
      </c>
      <c r="AI10">
        <v>2</v>
      </c>
      <c r="AJ10" s="26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 s="26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 s="26">
        <v>1</v>
      </c>
      <c r="AW10">
        <v>1</v>
      </c>
      <c r="AX10">
        <v>2</v>
      </c>
      <c r="AY10">
        <v>2</v>
      </c>
      <c r="AZ10">
        <v>2</v>
      </c>
      <c r="BA10" s="26">
        <v>1</v>
      </c>
      <c r="BB10">
        <v>1</v>
      </c>
      <c r="BC10">
        <v>2</v>
      </c>
      <c r="BD10">
        <v>2</v>
      </c>
      <c r="BE10">
        <v>2</v>
      </c>
    </row>
    <row r="11" spans="2:57" x14ac:dyDescent="0.35">
      <c r="B11" s="3" t="s">
        <v>11</v>
      </c>
      <c r="C11" s="1"/>
      <c r="D11" s="28">
        <v>54</v>
      </c>
      <c r="E11" s="1">
        <v>54</v>
      </c>
      <c r="F11" s="1">
        <v>54</v>
      </c>
      <c r="G11" s="1">
        <v>54</v>
      </c>
      <c r="H11" s="1">
        <v>54</v>
      </c>
      <c r="I11" s="28">
        <v>27</v>
      </c>
      <c r="J11" s="1">
        <v>27</v>
      </c>
      <c r="K11" s="1">
        <v>27</v>
      </c>
      <c r="L11" s="1">
        <v>27</v>
      </c>
      <c r="M11" s="1">
        <v>27</v>
      </c>
      <c r="N11" s="28">
        <v>36</v>
      </c>
      <c r="O11" s="1">
        <v>36</v>
      </c>
      <c r="P11" s="1">
        <v>36</v>
      </c>
      <c r="Q11" s="1">
        <v>36</v>
      </c>
      <c r="R11" s="1">
        <v>36</v>
      </c>
      <c r="S11" s="1">
        <v>36</v>
      </c>
      <c r="T11" s="28">
        <v>18</v>
      </c>
      <c r="U11" s="1">
        <v>18</v>
      </c>
      <c r="V11" s="1">
        <v>18</v>
      </c>
      <c r="W11" s="1">
        <v>18</v>
      </c>
      <c r="X11" s="1">
        <v>18</v>
      </c>
      <c r="Y11" s="1">
        <v>18</v>
      </c>
      <c r="Z11" s="28">
        <v>43</v>
      </c>
      <c r="AA11" s="1">
        <v>43</v>
      </c>
      <c r="AB11" s="1">
        <v>43</v>
      </c>
      <c r="AC11" s="1">
        <v>43</v>
      </c>
      <c r="AD11" s="1">
        <v>43</v>
      </c>
      <c r="AE11" s="28">
        <v>21</v>
      </c>
      <c r="AF11" s="1">
        <v>21</v>
      </c>
      <c r="AG11" s="1">
        <v>21</v>
      </c>
      <c r="AH11" s="1">
        <v>21</v>
      </c>
      <c r="AI11" s="1">
        <v>21</v>
      </c>
      <c r="AJ11" s="28">
        <v>17</v>
      </c>
      <c r="AK11" s="1">
        <v>17</v>
      </c>
      <c r="AL11" s="1">
        <v>17</v>
      </c>
      <c r="AM11" s="1">
        <v>17</v>
      </c>
      <c r="AN11" s="1">
        <v>17</v>
      </c>
      <c r="AO11" s="1">
        <v>17</v>
      </c>
      <c r="AP11" s="28">
        <v>8</v>
      </c>
      <c r="AQ11" s="1">
        <v>8</v>
      </c>
      <c r="AR11" s="1">
        <v>8</v>
      </c>
      <c r="AS11" s="1">
        <v>8</v>
      </c>
      <c r="AT11" s="1">
        <v>8</v>
      </c>
      <c r="AU11" s="1">
        <v>8</v>
      </c>
      <c r="AV11" s="28">
        <v>21</v>
      </c>
      <c r="AW11" s="1">
        <v>21</v>
      </c>
      <c r="AX11" s="1">
        <v>21</v>
      </c>
      <c r="AY11" s="1">
        <v>21</v>
      </c>
      <c r="AZ11" s="1">
        <v>21</v>
      </c>
      <c r="BA11" s="28">
        <v>10</v>
      </c>
      <c r="BB11" s="1">
        <v>10</v>
      </c>
      <c r="BC11" s="1">
        <v>10</v>
      </c>
      <c r="BD11" s="1">
        <v>10</v>
      </c>
      <c r="BE11" s="1">
        <v>10</v>
      </c>
    </row>
    <row r="12" spans="2:57" x14ac:dyDescent="0.35">
      <c r="B12" s="3" t="s">
        <v>39</v>
      </c>
      <c r="C12" s="1"/>
      <c r="D12" s="28">
        <v>14</v>
      </c>
      <c r="E12" s="1">
        <v>14</v>
      </c>
      <c r="F12" s="1">
        <v>14</v>
      </c>
      <c r="G12" s="1">
        <v>14</v>
      </c>
      <c r="H12" s="1">
        <v>14</v>
      </c>
      <c r="I12" s="28">
        <v>14</v>
      </c>
      <c r="J12" s="1">
        <v>14</v>
      </c>
      <c r="K12" s="1">
        <v>14</v>
      </c>
      <c r="L12" s="1">
        <v>14</v>
      </c>
      <c r="M12" s="1">
        <v>14</v>
      </c>
      <c r="N12" s="28">
        <v>14</v>
      </c>
      <c r="O12" s="1">
        <v>14</v>
      </c>
      <c r="P12" s="1">
        <v>14</v>
      </c>
      <c r="Q12" s="1">
        <v>14</v>
      </c>
      <c r="R12" s="1">
        <v>14</v>
      </c>
      <c r="S12" s="1">
        <v>14</v>
      </c>
      <c r="T12" s="28">
        <v>14</v>
      </c>
      <c r="U12" s="1">
        <v>14</v>
      </c>
      <c r="V12" s="1">
        <v>14</v>
      </c>
      <c r="W12" s="1">
        <v>14</v>
      </c>
      <c r="X12" s="1">
        <v>14</v>
      </c>
      <c r="Y12" s="1">
        <v>14</v>
      </c>
      <c r="Z12" s="28">
        <v>14</v>
      </c>
      <c r="AA12" s="1">
        <v>14</v>
      </c>
      <c r="AB12" s="1">
        <v>14</v>
      </c>
      <c r="AC12" s="1">
        <v>14</v>
      </c>
      <c r="AD12" s="1">
        <v>14</v>
      </c>
      <c r="AE12" s="28">
        <v>14</v>
      </c>
      <c r="AF12" s="1">
        <v>14</v>
      </c>
      <c r="AG12" s="1">
        <v>14</v>
      </c>
      <c r="AH12" s="1">
        <v>14</v>
      </c>
      <c r="AI12" s="1">
        <v>14</v>
      </c>
      <c r="AJ12" s="28">
        <v>14</v>
      </c>
      <c r="AK12" s="1">
        <v>14</v>
      </c>
      <c r="AL12" s="1">
        <v>14</v>
      </c>
      <c r="AM12" s="1">
        <v>14</v>
      </c>
      <c r="AN12" s="1">
        <v>14</v>
      </c>
      <c r="AO12" s="1">
        <v>14</v>
      </c>
      <c r="AP12" s="28">
        <v>14</v>
      </c>
      <c r="AQ12" s="1">
        <v>14</v>
      </c>
      <c r="AR12" s="1">
        <v>14</v>
      </c>
      <c r="AS12" s="1">
        <v>14</v>
      </c>
      <c r="AT12" s="1">
        <v>14</v>
      </c>
      <c r="AU12" s="1">
        <v>14</v>
      </c>
      <c r="AV12" s="28">
        <v>14</v>
      </c>
      <c r="AW12" s="1">
        <v>14</v>
      </c>
      <c r="AX12" s="1">
        <v>14</v>
      </c>
      <c r="AY12" s="1">
        <v>14</v>
      </c>
      <c r="AZ12" s="1">
        <v>14</v>
      </c>
      <c r="BA12" s="28">
        <v>14</v>
      </c>
      <c r="BB12" s="1">
        <v>14</v>
      </c>
      <c r="BC12" s="1">
        <v>14</v>
      </c>
      <c r="BD12" s="1">
        <v>14</v>
      </c>
      <c r="BE12" s="1">
        <v>14</v>
      </c>
    </row>
    <row r="13" spans="2:57" x14ac:dyDescent="0.35">
      <c r="B13" s="3" t="s">
        <v>40</v>
      </c>
      <c r="C13" s="1"/>
      <c r="D13" s="28">
        <v>1</v>
      </c>
      <c r="E13" s="1">
        <v>1</v>
      </c>
      <c r="F13" s="1">
        <v>1</v>
      </c>
      <c r="G13" s="1">
        <v>1</v>
      </c>
      <c r="H13" s="1">
        <v>1</v>
      </c>
      <c r="I13" s="28">
        <v>1</v>
      </c>
      <c r="J13" s="1">
        <v>1</v>
      </c>
      <c r="K13" s="1">
        <v>1</v>
      </c>
      <c r="L13" s="1">
        <v>1</v>
      </c>
      <c r="M13" s="1">
        <v>1</v>
      </c>
      <c r="N13" s="28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28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28">
        <v>1</v>
      </c>
      <c r="AA13" s="1">
        <v>1</v>
      </c>
      <c r="AB13" s="1">
        <v>1</v>
      </c>
      <c r="AC13" s="1">
        <v>1</v>
      </c>
      <c r="AD13" s="1">
        <v>1</v>
      </c>
      <c r="AE13" s="28">
        <v>1</v>
      </c>
      <c r="AF13" s="1">
        <v>1</v>
      </c>
      <c r="AG13" s="1">
        <v>1</v>
      </c>
      <c r="AH13" s="1">
        <v>1</v>
      </c>
      <c r="AI13" s="1">
        <v>1</v>
      </c>
      <c r="AJ13" s="28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28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28">
        <v>1</v>
      </c>
      <c r="AW13" s="1">
        <v>1</v>
      </c>
      <c r="AX13" s="1">
        <v>1</v>
      </c>
      <c r="AY13" s="1">
        <v>1</v>
      </c>
      <c r="AZ13" s="1">
        <v>1</v>
      </c>
      <c r="BA13" s="28">
        <v>1</v>
      </c>
      <c r="BB13" s="1">
        <v>1</v>
      </c>
      <c r="BC13" s="1">
        <v>1</v>
      </c>
      <c r="BD13" s="1">
        <v>1</v>
      </c>
      <c r="BE13" s="1">
        <v>1</v>
      </c>
    </row>
    <row r="14" spans="2:57" x14ac:dyDescent="0.35">
      <c r="B14" s="5" t="s">
        <v>14</v>
      </c>
      <c r="C14" s="1"/>
      <c r="D14" s="28">
        <v>1</v>
      </c>
      <c r="E14" s="1">
        <v>1</v>
      </c>
      <c r="F14" s="1">
        <v>1</v>
      </c>
      <c r="G14" s="1">
        <v>1</v>
      </c>
      <c r="H14" s="1">
        <v>1</v>
      </c>
      <c r="I14" s="28">
        <v>1</v>
      </c>
      <c r="J14" s="1">
        <v>1</v>
      </c>
      <c r="K14" s="1">
        <v>1</v>
      </c>
      <c r="L14" s="1">
        <v>1</v>
      </c>
      <c r="M14" s="1">
        <v>1</v>
      </c>
      <c r="N14" s="28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28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28">
        <v>1</v>
      </c>
      <c r="AA14" s="1">
        <v>1</v>
      </c>
      <c r="AB14" s="1">
        <v>1</v>
      </c>
      <c r="AC14" s="1">
        <v>1</v>
      </c>
      <c r="AD14" s="1">
        <v>1</v>
      </c>
      <c r="AE14" s="28">
        <v>1</v>
      </c>
      <c r="AF14" s="1">
        <v>1</v>
      </c>
      <c r="AG14" s="1">
        <v>1</v>
      </c>
      <c r="AH14" s="1">
        <v>1</v>
      </c>
      <c r="AI14" s="1">
        <v>1</v>
      </c>
      <c r="AJ14" s="28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28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28">
        <v>1</v>
      </c>
      <c r="AW14" s="1">
        <v>1</v>
      </c>
      <c r="AX14" s="1">
        <v>1</v>
      </c>
      <c r="AY14" s="1">
        <v>1</v>
      </c>
      <c r="AZ14" s="1">
        <v>1</v>
      </c>
      <c r="BA14" s="28">
        <v>1</v>
      </c>
      <c r="BB14" s="1">
        <v>1</v>
      </c>
      <c r="BC14" s="1">
        <v>1</v>
      </c>
      <c r="BD14" s="1">
        <v>1</v>
      </c>
      <c r="BE14" s="1">
        <v>1</v>
      </c>
    </row>
    <row r="15" spans="2:57" x14ac:dyDescent="0.35">
      <c r="B15" s="5" t="s">
        <v>15</v>
      </c>
      <c r="C15" s="1"/>
      <c r="D15" s="28">
        <v>0</v>
      </c>
      <c r="E15" s="1">
        <v>0</v>
      </c>
      <c r="F15" s="1">
        <v>0</v>
      </c>
      <c r="G15" s="1">
        <v>0</v>
      </c>
      <c r="H15" s="1">
        <v>0</v>
      </c>
      <c r="I15" s="28">
        <v>0</v>
      </c>
      <c r="J15" s="1">
        <v>0</v>
      </c>
      <c r="K15" s="1">
        <v>0</v>
      </c>
      <c r="L15" s="1">
        <v>0</v>
      </c>
      <c r="M15" s="1">
        <v>0</v>
      </c>
      <c r="N15" s="28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28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28">
        <v>0</v>
      </c>
      <c r="AA15" s="1">
        <v>0</v>
      </c>
      <c r="AB15" s="1">
        <v>0</v>
      </c>
      <c r="AC15" s="1">
        <v>0</v>
      </c>
      <c r="AD15" s="1">
        <v>0</v>
      </c>
      <c r="AE15" s="28">
        <v>0</v>
      </c>
      <c r="AF15" s="1">
        <v>0</v>
      </c>
      <c r="AG15" s="1">
        <v>0</v>
      </c>
      <c r="AH15" s="1">
        <v>0</v>
      </c>
      <c r="AI15" s="1">
        <v>0</v>
      </c>
      <c r="AJ15" s="28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28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28">
        <v>0</v>
      </c>
      <c r="AW15" s="1">
        <v>0</v>
      </c>
      <c r="AX15" s="1">
        <v>0</v>
      </c>
      <c r="AY15" s="1">
        <v>0</v>
      </c>
      <c r="AZ15" s="1">
        <v>0</v>
      </c>
      <c r="BA15" s="28">
        <v>0</v>
      </c>
      <c r="BB15" s="1">
        <v>0</v>
      </c>
      <c r="BC15" s="1">
        <v>0</v>
      </c>
      <c r="BD15" s="1">
        <v>0</v>
      </c>
      <c r="BE15" s="1">
        <v>0</v>
      </c>
    </row>
    <row r="16" spans="2:57" x14ac:dyDescent="0.35">
      <c r="B16" s="3" t="s">
        <v>16</v>
      </c>
      <c r="C16" s="1"/>
      <c r="D16" s="28">
        <v>2</v>
      </c>
      <c r="E16" s="1">
        <v>2</v>
      </c>
      <c r="F16" s="1">
        <v>2</v>
      </c>
      <c r="G16" s="1">
        <v>2</v>
      </c>
      <c r="H16" s="1">
        <v>2</v>
      </c>
      <c r="I16" s="28">
        <v>2</v>
      </c>
      <c r="J16" s="1">
        <v>2</v>
      </c>
      <c r="K16" s="1">
        <v>2</v>
      </c>
      <c r="L16" s="1">
        <v>2</v>
      </c>
      <c r="M16" s="1">
        <v>2</v>
      </c>
      <c r="N16" s="28">
        <v>2</v>
      </c>
      <c r="O16" s="1">
        <v>2</v>
      </c>
      <c r="P16" s="1">
        <v>2</v>
      </c>
      <c r="Q16" s="1">
        <v>2</v>
      </c>
      <c r="R16" s="1">
        <v>2</v>
      </c>
      <c r="S16" s="1">
        <v>2</v>
      </c>
      <c r="T16" s="28">
        <v>2</v>
      </c>
      <c r="U16" s="1">
        <v>2</v>
      </c>
      <c r="V16" s="1">
        <v>2</v>
      </c>
      <c r="W16" s="1">
        <v>2</v>
      </c>
      <c r="X16" s="1">
        <v>2</v>
      </c>
      <c r="Y16" s="1">
        <v>2</v>
      </c>
      <c r="Z16" s="28">
        <v>2</v>
      </c>
      <c r="AA16" s="1">
        <v>2</v>
      </c>
      <c r="AB16" s="1">
        <v>2</v>
      </c>
      <c r="AC16" s="1">
        <v>2</v>
      </c>
      <c r="AD16" s="1">
        <v>2</v>
      </c>
      <c r="AE16" s="28">
        <v>2</v>
      </c>
      <c r="AF16" s="1">
        <v>2</v>
      </c>
      <c r="AG16" s="1">
        <v>2</v>
      </c>
      <c r="AH16" s="1">
        <v>2</v>
      </c>
      <c r="AI16" s="1">
        <v>2</v>
      </c>
      <c r="AJ16" s="28">
        <v>2</v>
      </c>
      <c r="AK16" s="1">
        <v>2</v>
      </c>
      <c r="AL16" s="1">
        <v>2</v>
      </c>
      <c r="AM16" s="1">
        <v>2</v>
      </c>
      <c r="AN16" s="1">
        <v>2</v>
      </c>
      <c r="AO16" s="1">
        <v>2</v>
      </c>
      <c r="AP16" s="28">
        <v>2</v>
      </c>
      <c r="AQ16" s="1">
        <v>2</v>
      </c>
      <c r="AR16" s="1">
        <v>2</v>
      </c>
      <c r="AS16" s="1">
        <v>2</v>
      </c>
      <c r="AT16" s="1">
        <v>2</v>
      </c>
      <c r="AU16" s="1">
        <v>2</v>
      </c>
      <c r="AV16" s="28">
        <v>2</v>
      </c>
      <c r="AW16" s="1">
        <v>2</v>
      </c>
      <c r="AX16" s="1">
        <v>2</v>
      </c>
      <c r="AY16" s="1">
        <v>2</v>
      </c>
      <c r="AZ16" s="1">
        <v>2</v>
      </c>
      <c r="BA16" s="28">
        <v>2</v>
      </c>
      <c r="BB16" s="1">
        <v>2</v>
      </c>
      <c r="BC16" s="1">
        <v>2</v>
      </c>
      <c r="BD16" s="1">
        <v>2</v>
      </c>
      <c r="BE16" s="1">
        <v>2</v>
      </c>
    </row>
    <row r="17" spans="2:57" x14ac:dyDescent="0.35">
      <c r="B17" s="3" t="s">
        <v>17</v>
      </c>
      <c r="C17" s="1"/>
      <c r="D17" s="28">
        <v>27</v>
      </c>
      <c r="E17" s="1">
        <v>27</v>
      </c>
      <c r="F17" s="1">
        <v>27</v>
      </c>
      <c r="G17" s="1">
        <v>27</v>
      </c>
      <c r="H17" s="1">
        <v>27</v>
      </c>
      <c r="I17" s="28">
        <v>27</v>
      </c>
      <c r="J17" s="1">
        <v>27</v>
      </c>
      <c r="K17" s="1">
        <v>27</v>
      </c>
      <c r="L17" s="1">
        <v>27</v>
      </c>
      <c r="M17" s="1">
        <v>27</v>
      </c>
      <c r="N17" s="28">
        <v>27</v>
      </c>
      <c r="O17" s="1">
        <v>27</v>
      </c>
      <c r="P17" s="1">
        <v>27</v>
      </c>
      <c r="Q17" s="1">
        <v>27</v>
      </c>
      <c r="R17" s="1">
        <v>27</v>
      </c>
      <c r="S17" s="1">
        <v>27</v>
      </c>
      <c r="T17" s="28">
        <v>27</v>
      </c>
      <c r="U17" s="1">
        <v>27</v>
      </c>
      <c r="V17" s="1">
        <v>27</v>
      </c>
      <c r="W17" s="1">
        <v>27</v>
      </c>
      <c r="X17" s="1">
        <v>27</v>
      </c>
      <c r="Y17" s="1">
        <v>27</v>
      </c>
      <c r="Z17" s="28">
        <v>27</v>
      </c>
      <c r="AA17" s="1">
        <v>27</v>
      </c>
      <c r="AB17" s="1">
        <v>27</v>
      </c>
      <c r="AC17" s="1">
        <v>27</v>
      </c>
      <c r="AD17" s="1">
        <v>27</v>
      </c>
      <c r="AE17" s="28">
        <v>27</v>
      </c>
      <c r="AF17" s="1">
        <v>27</v>
      </c>
      <c r="AG17" s="1">
        <v>27</v>
      </c>
      <c r="AH17" s="1">
        <v>27</v>
      </c>
      <c r="AI17" s="1">
        <v>27</v>
      </c>
      <c r="AJ17" s="28">
        <v>27</v>
      </c>
      <c r="AK17" s="1">
        <v>27</v>
      </c>
      <c r="AL17" s="1">
        <v>27</v>
      </c>
      <c r="AM17" s="1">
        <v>27</v>
      </c>
      <c r="AN17" s="1">
        <v>27</v>
      </c>
      <c r="AO17" s="1">
        <v>27</v>
      </c>
      <c r="AP17" s="28">
        <v>27</v>
      </c>
      <c r="AQ17" s="1">
        <v>27</v>
      </c>
      <c r="AR17" s="1">
        <v>27</v>
      </c>
      <c r="AS17" s="1">
        <v>27</v>
      </c>
      <c r="AT17" s="1">
        <v>27</v>
      </c>
      <c r="AU17" s="1">
        <v>27</v>
      </c>
      <c r="AV17" s="28">
        <v>27</v>
      </c>
      <c r="AW17" s="1">
        <v>27</v>
      </c>
      <c r="AX17" s="1">
        <v>27</v>
      </c>
      <c r="AY17" s="1">
        <v>27</v>
      </c>
      <c r="AZ17" s="1">
        <v>27</v>
      </c>
      <c r="BA17" s="28">
        <v>27</v>
      </c>
      <c r="BB17" s="1">
        <v>27</v>
      </c>
      <c r="BC17" s="1">
        <v>27</v>
      </c>
      <c r="BD17" s="1">
        <v>27</v>
      </c>
      <c r="BE17" s="1">
        <v>27</v>
      </c>
    </row>
    <row r="18" spans="2:57" x14ac:dyDescent="0.35">
      <c r="B18" s="3" t="s">
        <v>18</v>
      </c>
      <c r="C18" s="1"/>
      <c r="D18" s="28">
        <v>1</v>
      </c>
      <c r="E18" s="1">
        <v>1</v>
      </c>
      <c r="F18" s="1">
        <v>1</v>
      </c>
      <c r="G18" s="1">
        <v>1</v>
      </c>
      <c r="H18" s="1">
        <v>1</v>
      </c>
      <c r="I18" s="28">
        <v>1</v>
      </c>
      <c r="J18" s="1">
        <v>1</v>
      </c>
      <c r="K18" s="1">
        <v>1</v>
      </c>
      <c r="L18" s="1">
        <v>1</v>
      </c>
      <c r="M18" s="1">
        <v>1</v>
      </c>
      <c r="N18" s="28">
        <v>1</v>
      </c>
      <c r="O18" s="1">
        <v>1</v>
      </c>
      <c r="P18" s="1">
        <v>1</v>
      </c>
      <c r="Q18" s="1">
        <v>1</v>
      </c>
      <c r="R18" s="1">
        <v>1</v>
      </c>
      <c r="S18" s="1">
        <v>1</v>
      </c>
      <c r="T18" s="28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28">
        <v>1</v>
      </c>
      <c r="AA18" s="1">
        <v>1</v>
      </c>
      <c r="AB18" s="1">
        <v>1</v>
      </c>
      <c r="AC18" s="1">
        <v>1</v>
      </c>
      <c r="AD18" s="1">
        <v>1</v>
      </c>
      <c r="AE18" s="28">
        <v>1</v>
      </c>
      <c r="AF18" s="1">
        <v>1</v>
      </c>
      <c r="AG18" s="1">
        <v>1</v>
      </c>
      <c r="AH18" s="1">
        <v>1</v>
      </c>
      <c r="AI18" s="1">
        <v>1</v>
      </c>
      <c r="AJ18" s="28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28">
        <v>1</v>
      </c>
      <c r="AQ18" s="1">
        <v>1</v>
      </c>
      <c r="AR18" s="1">
        <v>1</v>
      </c>
      <c r="AS18" s="1">
        <v>1</v>
      </c>
      <c r="AT18" s="1">
        <v>1</v>
      </c>
      <c r="AU18" s="1">
        <v>1</v>
      </c>
      <c r="AV18" s="28">
        <v>1</v>
      </c>
      <c r="AW18" s="1">
        <v>1</v>
      </c>
      <c r="AX18" s="1">
        <v>1</v>
      </c>
      <c r="AY18" s="1">
        <v>1</v>
      </c>
      <c r="AZ18" s="1">
        <v>1</v>
      </c>
      <c r="BA18" s="28">
        <v>1</v>
      </c>
      <c r="BB18" s="1">
        <v>1</v>
      </c>
      <c r="BC18" s="1">
        <v>1</v>
      </c>
      <c r="BD18" s="1">
        <v>1</v>
      </c>
      <c r="BE18" s="1">
        <v>1</v>
      </c>
    </row>
    <row r="19" spans="2:57" x14ac:dyDescent="0.35">
      <c r="B19" s="3" t="s">
        <v>19</v>
      </c>
      <c r="C19" s="1"/>
      <c r="D19" s="28">
        <v>1</v>
      </c>
      <c r="E19" s="1">
        <v>1</v>
      </c>
      <c r="F19" s="1">
        <v>2</v>
      </c>
      <c r="G19" s="1">
        <v>2</v>
      </c>
      <c r="H19" s="1">
        <v>2</v>
      </c>
      <c r="I19" s="28">
        <v>1</v>
      </c>
      <c r="J19" s="1">
        <v>1</v>
      </c>
      <c r="K19" s="1">
        <v>2</v>
      </c>
      <c r="L19" s="1">
        <v>2</v>
      </c>
      <c r="M19" s="1">
        <v>2</v>
      </c>
      <c r="N19" s="28">
        <v>2</v>
      </c>
      <c r="O19" s="1">
        <v>2</v>
      </c>
      <c r="P19" s="1">
        <v>2</v>
      </c>
      <c r="Q19" s="1">
        <v>2</v>
      </c>
      <c r="R19" s="1">
        <v>2</v>
      </c>
      <c r="S19" s="1">
        <v>2</v>
      </c>
      <c r="T19" s="28">
        <v>2</v>
      </c>
      <c r="U19" s="1">
        <v>2</v>
      </c>
      <c r="V19" s="1">
        <v>2</v>
      </c>
      <c r="W19" s="1">
        <v>2</v>
      </c>
      <c r="X19" s="1">
        <v>2</v>
      </c>
      <c r="Y19" s="1">
        <v>2</v>
      </c>
      <c r="Z19" s="28">
        <v>1</v>
      </c>
      <c r="AA19" s="1">
        <v>1</v>
      </c>
      <c r="AB19" s="1">
        <v>2</v>
      </c>
      <c r="AC19" s="1">
        <v>2</v>
      </c>
      <c r="AD19" s="1">
        <v>2</v>
      </c>
      <c r="AE19" s="28">
        <v>1</v>
      </c>
      <c r="AF19" s="1">
        <v>1</v>
      </c>
      <c r="AG19" s="1">
        <v>2</v>
      </c>
      <c r="AH19" s="1">
        <v>2</v>
      </c>
      <c r="AI19" s="1">
        <v>2</v>
      </c>
      <c r="AJ19" s="28">
        <v>2</v>
      </c>
      <c r="AK19" s="1">
        <v>2</v>
      </c>
      <c r="AL19" s="1">
        <v>2</v>
      </c>
      <c r="AM19" s="1">
        <v>2</v>
      </c>
      <c r="AN19" s="1">
        <v>2</v>
      </c>
      <c r="AO19" s="1">
        <v>2</v>
      </c>
      <c r="AP19" s="28">
        <v>2</v>
      </c>
      <c r="AQ19" s="1">
        <v>2</v>
      </c>
      <c r="AR19" s="1">
        <v>2</v>
      </c>
      <c r="AS19" s="1">
        <v>2</v>
      </c>
      <c r="AT19" s="1">
        <v>2</v>
      </c>
      <c r="AU19" s="1">
        <v>2</v>
      </c>
      <c r="AV19" s="28">
        <v>1</v>
      </c>
      <c r="AW19" s="1">
        <v>1</v>
      </c>
      <c r="AX19" s="1">
        <v>2</v>
      </c>
      <c r="AY19" s="1">
        <v>2</v>
      </c>
      <c r="AZ19" s="1">
        <v>2</v>
      </c>
      <c r="BA19" s="28">
        <v>1</v>
      </c>
      <c r="BB19" s="1">
        <v>1</v>
      </c>
      <c r="BC19" s="1">
        <v>2</v>
      </c>
      <c r="BD19" s="1">
        <v>2</v>
      </c>
      <c r="BE19" s="1">
        <v>2</v>
      </c>
    </row>
    <row r="20" spans="2:57" x14ac:dyDescent="0.35">
      <c r="B20" s="3" t="s">
        <v>20</v>
      </c>
      <c r="C20" s="1"/>
      <c r="D20" s="28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28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N20" s="28" t="s">
        <v>44</v>
      </c>
      <c r="O20" s="1" t="s">
        <v>44</v>
      </c>
      <c r="P20" s="1" t="s">
        <v>44</v>
      </c>
      <c r="Q20" s="1" t="s">
        <v>44</v>
      </c>
      <c r="R20" s="1" t="s">
        <v>44</v>
      </c>
      <c r="S20" s="1" t="s">
        <v>44</v>
      </c>
      <c r="T20" s="28" t="s">
        <v>44</v>
      </c>
      <c r="U20" s="1" t="s">
        <v>44</v>
      </c>
      <c r="V20" s="1" t="s">
        <v>44</v>
      </c>
      <c r="W20" s="1" t="s">
        <v>44</v>
      </c>
      <c r="X20" s="1" t="s">
        <v>44</v>
      </c>
      <c r="Y20" s="1" t="s">
        <v>44</v>
      </c>
      <c r="Z20" s="28" t="s">
        <v>44</v>
      </c>
      <c r="AA20" s="1" t="s">
        <v>44</v>
      </c>
      <c r="AB20" s="1" t="s">
        <v>44</v>
      </c>
      <c r="AC20" s="1" t="s">
        <v>44</v>
      </c>
      <c r="AD20" s="1" t="s">
        <v>44</v>
      </c>
      <c r="AE20" s="28" t="s">
        <v>44</v>
      </c>
      <c r="AF20" s="1" t="s">
        <v>44</v>
      </c>
      <c r="AG20" s="1" t="s">
        <v>44</v>
      </c>
      <c r="AH20" s="1" t="s">
        <v>44</v>
      </c>
      <c r="AI20" s="1" t="s">
        <v>44</v>
      </c>
      <c r="AJ20" s="28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28" t="s">
        <v>44</v>
      </c>
      <c r="AQ20" s="1" t="s">
        <v>44</v>
      </c>
      <c r="AR20" s="1" t="s">
        <v>44</v>
      </c>
      <c r="AS20" s="1" t="s">
        <v>44</v>
      </c>
      <c r="AT20" s="1" t="s">
        <v>44</v>
      </c>
      <c r="AU20" s="1" t="s">
        <v>44</v>
      </c>
      <c r="AV20" s="28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28" t="s">
        <v>44</v>
      </c>
      <c r="BB20" s="1" t="s">
        <v>44</v>
      </c>
      <c r="BC20" s="1" t="s">
        <v>44</v>
      </c>
      <c r="BD20" s="1" t="s">
        <v>44</v>
      </c>
      <c r="BE20" s="1" t="s">
        <v>44</v>
      </c>
    </row>
    <row r="21" spans="2:57" x14ac:dyDescent="0.35">
      <c r="B21" s="6" t="s">
        <v>22</v>
      </c>
      <c r="C21" s="1"/>
      <c r="D21" s="29"/>
      <c r="E21" s="17"/>
      <c r="F21" s="17"/>
      <c r="G21" s="17"/>
      <c r="H21" s="17"/>
      <c r="I21" s="29"/>
      <c r="J21" s="17"/>
      <c r="K21" s="17"/>
      <c r="L21" s="17"/>
      <c r="M21" s="17"/>
      <c r="N21" s="29"/>
      <c r="O21" s="17"/>
      <c r="P21" s="17"/>
      <c r="Q21" s="17"/>
      <c r="R21" s="17"/>
      <c r="S21" s="17"/>
      <c r="T21" s="29"/>
      <c r="U21" s="17"/>
      <c r="V21" s="17"/>
      <c r="W21" s="17"/>
      <c r="X21" s="17"/>
      <c r="Y21" s="17"/>
      <c r="Z21" s="29"/>
      <c r="AA21" s="17"/>
      <c r="AB21" s="17"/>
      <c r="AC21" s="17"/>
      <c r="AD21" s="17"/>
      <c r="AE21" s="29"/>
      <c r="AF21" s="17"/>
      <c r="AG21" s="17"/>
      <c r="AH21" s="17"/>
      <c r="AI21" s="17"/>
      <c r="AJ21" s="29"/>
      <c r="AK21" s="17"/>
      <c r="AL21" s="17"/>
      <c r="AM21" s="17"/>
      <c r="AN21" s="17"/>
      <c r="AO21" s="17"/>
      <c r="AP21" s="29"/>
      <c r="AQ21" s="17"/>
      <c r="AR21" s="17"/>
      <c r="AS21" s="17"/>
      <c r="AT21" s="17"/>
      <c r="AU21" s="17"/>
      <c r="AV21" s="29"/>
      <c r="AW21" s="17"/>
      <c r="AX21" s="17"/>
      <c r="AY21" s="17"/>
      <c r="AZ21" s="17"/>
      <c r="BA21" s="29"/>
      <c r="BB21" s="17"/>
      <c r="BC21" s="17"/>
      <c r="BD21" s="17"/>
      <c r="BE21" s="17"/>
    </row>
    <row r="22" spans="2:57" x14ac:dyDescent="0.35">
      <c r="B22" s="7" t="s">
        <v>23</v>
      </c>
      <c r="C22" s="1"/>
      <c r="D22" s="28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28" t="s">
        <v>24</v>
      </c>
      <c r="J22" s="1" t="s">
        <v>24</v>
      </c>
      <c r="K22" s="1" t="s">
        <v>24</v>
      </c>
      <c r="L22" s="1" t="s">
        <v>24</v>
      </c>
      <c r="M22" s="1" t="s">
        <v>24</v>
      </c>
      <c r="N22" s="28" t="s">
        <v>24</v>
      </c>
      <c r="O22" s="1" t="s">
        <v>24</v>
      </c>
      <c r="P22" s="1" t="s">
        <v>24</v>
      </c>
      <c r="Q22" s="1" t="s">
        <v>24</v>
      </c>
      <c r="R22" s="1" t="s">
        <v>24</v>
      </c>
      <c r="S22" s="1" t="s">
        <v>24</v>
      </c>
      <c r="T22" s="28" t="s">
        <v>24</v>
      </c>
      <c r="U22" s="1" t="s">
        <v>24</v>
      </c>
      <c r="V22" s="1" t="s">
        <v>24</v>
      </c>
      <c r="W22" s="1" t="s">
        <v>24</v>
      </c>
      <c r="X22" s="1" t="s">
        <v>24</v>
      </c>
      <c r="Y22" s="1" t="s">
        <v>24</v>
      </c>
      <c r="Z22" s="28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28" t="s">
        <v>24</v>
      </c>
      <c r="AF22" s="1" t="s">
        <v>24</v>
      </c>
      <c r="AG22" s="1" t="s">
        <v>24</v>
      </c>
      <c r="AH22" s="1" t="s">
        <v>24</v>
      </c>
      <c r="AI22" s="1" t="s">
        <v>24</v>
      </c>
      <c r="AJ22" s="28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28" t="s">
        <v>24</v>
      </c>
      <c r="AQ22" s="1" t="s">
        <v>24</v>
      </c>
      <c r="AR22" s="1" t="s">
        <v>24</v>
      </c>
      <c r="AS22" s="1" t="s">
        <v>24</v>
      </c>
      <c r="AT22" s="1" t="s">
        <v>24</v>
      </c>
      <c r="AU22" s="1" t="s">
        <v>24</v>
      </c>
      <c r="AV22" s="28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28" t="s">
        <v>24</v>
      </c>
      <c r="BB22" s="1" t="s">
        <v>24</v>
      </c>
      <c r="BC22" s="1" t="s">
        <v>24</v>
      </c>
      <c r="BD22" s="1" t="s">
        <v>24</v>
      </c>
      <c r="BE22" s="1" t="s">
        <v>24</v>
      </c>
    </row>
    <row r="23" spans="2:57" x14ac:dyDescent="0.35">
      <c r="B23" s="7" t="s">
        <v>25</v>
      </c>
      <c r="C23" s="1"/>
      <c r="D23" s="28">
        <v>0</v>
      </c>
      <c r="E23" s="1">
        <v>0</v>
      </c>
      <c r="F23" s="1">
        <v>0</v>
      </c>
      <c r="G23" s="1">
        <v>0</v>
      </c>
      <c r="H23" s="1">
        <v>0</v>
      </c>
      <c r="I23" s="28">
        <v>0</v>
      </c>
      <c r="J23" s="1">
        <v>0</v>
      </c>
      <c r="K23" s="1">
        <v>0</v>
      </c>
      <c r="L23" s="1">
        <v>0</v>
      </c>
      <c r="M23" s="1">
        <v>0</v>
      </c>
      <c r="N23" s="28">
        <v>0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28">
        <v>0</v>
      </c>
      <c r="U23" s="1">
        <v>0</v>
      </c>
      <c r="V23" s="1">
        <v>0</v>
      </c>
      <c r="W23" s="1">
        <v>0</v>
      </c>
      <c r="X23" s="1">
        <v>0</v>
      </c>
      <c r="Y23" s="1">
        <v>1</v>
      </c>
      <c r="Z23" s="28">
        <v>0</v>
      </c>
      <c r="AA23" s="1">
        <v>0</v>
      </c>
      <c r="AB23" s="1">
        <v>0</v>
      </c>
      <c r="AC23" s="1">
        <v>0</v>
      </c>
      <c r="AD23" s="1">
        <v>0</v>
      </c>
      <c r="AE23" s="28">
        <v>0</v>
      </c>
      <c r="AF23" s="1">
        <v>0</v>
      </c>
      <c r="AG23" s="1">
        <v>0</v>
      </c>
      <c r="AH23" s="1">
        <v>0</v>
      </c>
      <c r="AI23" s="1">
        <v>0</v>
      </c>
      <c r="AJ23" s="28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28">
        <v>0</v>
      </c>
      <c r="AQ23" s="1">
        <v>0</v>
      </c>
      <c r="AR23" s="1">
        <v>0</v>
      </c>
      <c r="AS23" s="1">
        <v>0</v>
      </c>
      <c r="AT23" s="1">
        <v>0</v>
      </c>
      <c r="AU23" s="1">
        <v>1</v>
      </c>
      <c r="AV23" s="28">
        <v>0</v>
      </c>
      <c r="AW23" s="1">
        <v>0</v>
      </c>
      <c r="AX23" s="1">
        <v>0</v>
      </c>
      <c r="AY23" s="1">
        <v>0</v>
      </c>
      <c r="AZ23" s="1">
        <v>0</v>
      </c>
      <c r="BA23" s="28">
        <v>0</v>
      </c>
      <c r="BB23" s="1">
        <v>0</v>
      </c>
      <c r="BC23" s="1">
        <v>0</v>
      </c>
      <c r="BD23" s="1">
        <v>0</v>
      </c>
      <c r="BE23" s="1">
        <v>0</v>
      </c>
    </row>
    <row r="24" spans="2:57" x14ac:dyDescent="0.35">
      <c r="B24" s="7" t="s">
        <v>26</v>
      </c>
      <c r="C24" s="1"/>
      <c r="D24" s="28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28" t="s">
        <v>27</v>
      </c>
      <c r="J24" s="1" t="s">
        <v>27</v>
      </c>
      <c r="K24" s="1" t="s">
        <v>27</v>
      </c>
      <c r="L24" s="1" t="s">
        <v>27</v>
      </c>
      <c r="M24" s="1" t="s">
        <v>27</v>
      </c>
      <c r="N24" s="28" t="s">
        <v>27</v>
      </c>
      <c r="O24" s="1" t="s">
        <v>27</v>
      </c>
      <c r="P24" s="1" t="s">
        <v>27</v>
      </c>
      <c r="Q24" s="1" t="s">
        <v>27</v>
      </c>
      <c r="R24" s="1" t="s">
        <v>27</v>
      </c>
      <c r="S24" s="1" t="s">
        <v>27</v>
      </c>
      <c r="T24" s="28" t="s">
        <v>27</v>
      </c>
      <c r="U24" s="1" t="s">
        <v>27</v>
      </c>
      <c r="V24" s="1" t="s">
        <v>27</v>
      </c>
      <c r="W24" s="1" t="s">
        <v>27</v>
      </c>
      <c r="X24" s="1" t="s">
        <v>27</v>
      </c>
      <c r="Y24" s="1" t="s">
        <v>27</v>
      </c>
      <c r="Z24" s="28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28" t="s">
        <v>27</v>
      </c>
      <c r="AF24" s="1" t="s">
        <v>27</v>
      </c>
      <c r="AG24" s="1" t="s">
        <v>27</v>
      </c>
      <c r="AH24" s="1" t="s">
        <v>27</v>
      </c>
      <c r="AI24" s="1" t="s">
        <v>27</v>
      </c>
      <c r="AJ24" s="28" t="s">
        <v>27</v>
      </c>
      <c r="AK24" s="1" t="s">
        <v>27</v>
      </c>
      <c r="AL24" s="1" t="s">
        <v>27</v>
      </c>
      <c r="AM24" s="1" t="s">
        <v>27</v>
      </c>
      <c r="AN24" s="1" t="s">
        <v>27</v>
      </c>
      <c r="AO24" s="1" t="s">
        <v>27</v>
      </c>
      <c r="AP24" s="28" t="s">
        <v>27</v>
      </c>
      <c r="AQ24" s="1" t="s">
        <v>27</v>
      </c>
      <c r="AR24" s="1" t="s">
        <v>27</v>
      </c>
      <c r="AS24" s="1" t="s">
        <v>27</v>
      </c>
      <c r="AT24" s="1" t="s">
        <v>27</v>
      </c>
      <c r="AU24" s="1" t="s">
        <v>27</v>
      </c>
      <c r="AV24" s="28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28" t="s">
        <v>27</v>
      </c>
      <c r="BB24" s="1" t="s">
        <v>27</v>
      </c>
      <c r="BC24" s="1" t="s">
        <v>27</v>
      </c>
      <c r="BD24" s="1" t="s">
        <v>27</v>
      </c>
      <c r="BE24" s="1" t="s">
        <v>27</v>
      </c>
    </row>
    <row r="25" spans="2:57" x14ac:dyDescent="0.35">
      <c r="B25" s="6" t="s">
        <v>28</v>
      </c>
      <c r="C25" s="1"/>
      <c r="D25" s="29"/>
      <c r="E25" s="17"/>
      <c r="F25" s="17"/>
      <c r="G25" s="17"/>
      <c r="H25" s="17"/>
      <c r="I25" s="29"/>
      <c r="J25" s="17"/>
      <c r="K25" s="17"/>
      <c r="L25" s="17"/>
      <c r="M25" s="17"/>
      <c r="N25" s="29"/>
      <c r="O25" s="17"/>
      <c r="P25" s="17"/>
      <c r="Q25" s="17"/>
      <c r="R25" s="17"/>
      <c r="S25" s="17"/>
      <c r="T25" s="29"/>
      <c r="U25" s="17"/>
      <c r="V25" s="17"/>
      <c r="W25" s="17"/>
      <c r="X25" s="17"/>
      <c r="Y25" s="17"/>
      <c r="Z25" s="29"/>
      <c r="AA25" s="17"/>
      <c r="AB25" s="17"/>
      <c r="AC25" s="17"/>
      <c r="AD25" s="17"/>
      <c r="AE25" s="29"/>
      <c r="AF25" s="17"/>
      <c r="AG25" s="17"/>
      <c r="AH25" s="17"/>
      <c r="AI25" s="17"/>
      <c r="AJ25" s="29"/>
      <c r="AK25" s="17"/>
      <c r="AL25" s="17"/>
      <c r="AM25" s="17"/>
      <c r="AN25" s="17"/>
      <c r="AO25" s="17"/>
      <c r="AP25" s="29"/>
      <c r="AQ25" s="17"/>
      <c r="AR25" s="17"/>
      <c r="AS25" s="17"/>
      <c r="AT25" s="17"/>
      <c r="AU25" s="17"/>
      <c r="AV25" s="29"/>
      <c r="AW25" s="17"/>
      <c r="AX25" s="17"/>
      <c r="AY25" s="17"/>
      <c r="AZ25" s="17"/>
      <c r="BA25" s="29"/>
      <c r="BB25" s="17"/>
      <c r="BC25" s="17"/>
      <c r="BD25" s="17"/>
      <c r="BE25" s="17"/>
    </row>
    <row r="26" spans="2:57" x14ac:dyDescent="0.35">
      <c r="B26" s="8" t="s">
        <v>29</v>
      </c>
      <c r="C26" s="1"/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28" cm="1">
        <f t="array" ref="I26">Comm_MCS_ModOrd(I16,I17)</f>
        <v>8</v>
      </c>
      <c r="J26" s="1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" cm="1">
        <f t="array" ref="M26">Comm_MCS_ModOrd(M16,M17)</f>
        <v>8</v>
      </c>
      <c r="N26" s="28" cm="1">
        <f t="array" ref="N26">Comm_MCS_ModOrd(N16,N17)</f>
        <v>8</v>
      </c>
      <c r="O26" s="1" cm="1">
        <f t="array" ref="O26">Comm_MCS_ModOrd(O16,O17)</f>
        <v>8</v>
      </c>
      <c r="P26" s="1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" cm="1">
        <f t="array" ref="S26">Comm_MCS_ModOrd(S16,S17)</f>
        <v>8</v>
      </c>
      <c r="T26" s="28" cm="1">
        <f t="array" ref="T26">Comm_MCS_ModOrd(T16,T17)</f>
        <v>8</v>
      </c>
      <c r="U26" s="1" cm="1">
        <f t="array" ref="U26">Comm_MCS_ModOrd(U16,U17)</f>
        <v>8</v>
      </c>
      <c r="V26" s="1" cm="1">
        <f t="array" ref="V26">Comm_MCS_ModOrd(V16,V17)</f>
        <v>8</v>
      </c>
      <c r="W26" s="1" cm="1">
        <f t="array" ref="W26">Comm_MCS_ModOrd(W16,W17)</f>
        <v>8</v>
      </c>
      <c r="X26" s="1" cm="1">
        <f t="array" ref="X26">Comm_MCS_ModOrd(X16,X17)</f>
        <v>8</v>
      </c>
      <c r="Y26" s="1" cm="1">
        <f t="array" ref="Y26">Comm_MCS_ModOrd(Y16,Y17)</f>
        <v>8</v>
      </c>
      <c r="Z26" s="28" cm="1">
        <f t="array" ref="Z26">Comm_MCS_ModOrd(Z16,Z17)</f>
        <v>8</v>
      </c>
      <c r="AA26" s="1" cm="1">
        <f t="array" ref="AA26">Comm_MCS_ModOrd(AA16,AA17)</f>
        <v>8</v>
      </c>
      <c r="AB26" s="1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28" cm="1">
        <f t="array" ref="AE26">Comm_MCS_ModOrd(AE16,AE17)</f>
        <v>8</v>
      </c>
      <c r="AF26" s="1" cm="1">
        <f t="array" ref="AF26">Comm_MCS_ModOrd(AF16,AF17)</f>
        <v>8</v>
      </c>
      <c r="AG26" s="1" cm="1">
        <f t="array" ref="AG26">Comm_MCS_ModOrd(AG16,AG17)</f>
        <v>8</v>
      </c>
      <c r="AH26" s="1" cm="1">
        <f t="array" ref="AH26">Comm_MCS_ModOrd(AH16,AH17)</f>
        <v>8</v>
      </c>
      <c r="AI26" s="1" cm="1">
        <f t="array" ref="AI26">Comm_MCS_ModOrd(AI16,AI17)</f>
        <v>8</v>
      </c>
      <c r="AJ26" s="28" cm="1">
        <f t="array" ref="AJ26">Comm_MCS_ModOrd(AJ16,AJ17)</f>
        <v>8</v>
      </c>
      <c r="AK26" s="1" cm="1">
        <f t="array" ref="AK26">Comm_MCS_ModOrd(AK16,AK17)</f>
        <v>8</v>
      </c>
      <c r="AL26" s="1" cm="1">
        <f t="array" ref="AL26">Comm_MCS_ModOrd(AL16,AL17)</f>
        <v>8</v>
      </c>
      <c r="AM26" s="1" cm="1">
        <f t="array" ref="AM26">Comm_MCS_ModOrd(AM16,AM17)</f>
        <v>8</v>
      </c>
      <c r="AN26" s="1" cm="1">
        <f t="array" ref="AN26">Comm_MCS_ModOrd(AN16,AN17)</f>
        <v>8</v>
      </c>
      <c r="AO26" s="1" cm="1">
        <f t="array" ref="AO26">Comm_MCS_ModOrd(AO16,AO17)</f>
        <v>8</v>
      </c>
      <c r="AP26" s="28" cm="1">
        <f t="array" ref="AP26">Comm_MCS_ModOrd(AP16,AP17)</f>
        <v>8</v>
      </c>
      <c r="AQ26" s="1" cm="1">
        <f t="array" ref="AQ26">Comm_MCS_ModOrd(AQ16,AQ17)</f>
        <v>8</v>
      </c>
      <c r="AR26" s="1" cm="1">
        <f t="array" ref="AR26">Comm_MCS_ModOrd(AR16,AR17)</f>
        <v>8</v>
      </c>
      <c r="AS26" s="1" cm="1">
        <f t="array" ref="AS26">Comm_MCS_ModOrd(AS16,AS17)</f>
        <v>8</v>
      </c>
      <c r="AT26" s="1" cm="1">
        <f t="array" ref="AT26">Comm_MCS_ModOrd(AT16,AT17)</f>
        <v>8</v>
      </c>
      <c r="AU26" s="1" cm="1">
        <f t="array" ref="AU26">Comm_MCS_ModOrd(AU16,AU17)</f>
        <v>8</v>
      </c>
      <c r="AV26" s="28" cm="1">
        <f t="array" ref="AV26">Comm_MCS_ModOrd(AV16,AV17)</f>
        <v>8</v>
      </c>
      <c r="AW26" s="1" cm="1">
        <f t="array" ref="AW26">Comm_MCS_ModOrd(AW16,AW17)</f>
        <v>8</v>
      </c>
      <c r="AX26" s="1" cm="1">
        <f t="array" ref="AX26">Comm_MCS_ModOrd(AX16,AX17)</f>
        <v>8</v>
      </c>
      <c r="AY26" s="1" cm="1">
        <f t="array" ref="AY26">Comm_MCS_ModOrd(AY16,AY17)</f>
        <v>8</v>
      </c>
      <c r="AZ26" s="1" cm="1">
        <f t="array" ref="AZ26">Comm_MCS_ModOrd(AZ16,AZ17)</f>
        <v>8</v>
      </c>
      <c r="BA26" s="28" cm="1">
        <f t="array" ref="BA26">Comm_MCS_ModOrd(BA16,BA17)</f>
        <v>8</v>
      </c>
      <c r="BB26" s="1" cm="1">
        <f t="array" ref="BB26">Comm_MCS_ModOrd(BB16,BB17)</f>
        <v>8</v>
      </c>
      <c r="BC26" s="1" cm="1">
        <f t="array" ref="BC26">Comm_MCS_ModOrd(BC16,BC17)</f>
        <v>8</v>
      </c>
      <c r="BD26" s="1" cm="1">
        <f t="array" ref="BD26">Comm_MCS_ModOrd(BD16,BD17)</f>
        <v>8</v>
      </c>
      <c r="BE26" s="1" cm="1">
        <f t="array" ref="BE26">Comm_MCS_ModOrd(BE16,BE17)</f>
        <v>8</v>
      </c>
    </row>
    <row r="27" spans="2:57" x14ac:dyDescent="0.35">
      <c r="B27" s="8" t="s">
        <v>30</v>
      </c>
      <c r="C27" s="1"/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28" cm="1">
        <f t="array" ref="I27">Comm_MCS_CodeRate(I16,I17)</f>
        <v>948</v>
      </c>
      <c r="J27" s="1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" cm="1">
        <f t="array" ref="M27">Comm_MCS_CodeRate(M16,M17)</f>
        <v>948</v>
      </c>
      <c r="N27" s="28" cm="1">
        <f t="array" ref="N27">Comm_MCS_CodeRate(N16,N17)</f>
        <v>948</v>
      </c>
      <c r="O27" s="1" cm="1">
        <f t="array" ref="O27">Comm_MCS_CodeRate(O16,O17)</f>
        <v>948</v>
      </c>
      <c r="P27" s="1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" cm="1">
        <f t="array" ref="S27">Comm_MCS_CodeRate(S16,S17)</f>
        <v>948</v>
      </c>
      <c r="T27" s="28" cm="1">
        <f t="array" ref="T27">Comm_MCS_CodeRate(T16,T17)</f>
        <v>948</v>
      </c>
      <c r="U27" s="1" cm="1">
        <f t="array" ref="U27">Comm_MCS_CodeRate(U16,U17)</f>
        <v>948</v>
      </c>
      <c r="V27" s="1" cm="1">
        <f t="array" ref="V27">Comm_MCS_CodeRate(V16,V17)</f>
        <v>948</v>
      </c>
      <c r="W27" s="1" cm="1">
        <f t="array" ref="W27">Comm_MCS_CodeRate(W16,W17)</f>
        <v>948</v>
      </c>
      <c r="X27" s="1" cm="1">
        <f t="array" ref="X27">Comm_MCS_CodeRate(X16,X17)</f>
        <v>948</v>
      </c>
      <c r="Y27" s="1" cm="1">
        <f t="array" ref="Y27">Comm_MCS_CodeRate(Y16,Y17)</f>
        <v>948</v>
      </c>
      <c r="Z27" s="28" cm="1">
        <f t="array" ref="Z27">Comm_MCS_CodeRate(Z16,Z17)</f>
        <v>948</v>
      </c>
      <c r="AA27" s="1" cm="1">
        <f t="array" ref="AA27">Comm_MCS_CodeRate(AA16,AA17)</f>
        <v>948</v>
      </c>
      <c r="AB27" s="1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28" cm="1">
        <f t="array" ref="AE27">Comm_MCS_CodeRate(AE16,AE17)</f>
        <v>948</v>
      </c>
      <c r="AF27" s="1" cm="1">
        <f t="array" ref="AF27">Comm_MCS_CodeRate(AF16,AF17)</f>
        <v>948</v>
      </c>
      <c r="AG27" s="1" cm="1">
        <f t="array" ref="AG27">Comm_MCS_CodeRate(AG16,AG17)</f>
        <v>948</v>
      </c>
      <c r="AH27" s="1" cm="1">
        <f t="array" ref="AH27">Comm_MCS_CodeRate(AH16,AH17)</f>
        <v>948</v>
      </c>
      <c r="AI27" s="1" cm="1">
        <f t="array" ref="AI27">Comm_MCS_CodeRate(AI16,AI17)</f>
        <v>948</v>
      </c>
      <c r="AJ27" s="28" cm="1">
        <f t="array" ref="AJ27">Comm_MCS_CodeRate(AJ16,AJ17)</f>
        <v>948</v>
      </c>
      <c r="AK27" s="1" cm="1">
        <f t="array" ref="AK27">Comm_MCS_CodeRate(AK16,AK17)</f>
        <v>948</v>
      </c>
      <c r="AL27" s="1" cm="1">
        <f t="array" ref="AL27">Comm_MCS_CodeRate(AL16,AL17)</f>
        <v>948</v>
      </c>
      <c r="AM27" s="1" cm="1">
        <f t="array" ref="AM27">Comm_MCS_CodeRate(AM16,AM17)</f>
        <v>948</v>
      </c>
      <c r="AN27" s="1" cm="1">
        <f t="array" ref="AN27">Comm_MCS_CodeRate(AN16,AN17)</f>
        <v>948</v>
      </c>
      <c r="AO27" s="1" cm="1">
        <f t="array" ref="AO27">Comm_MCS_CodeRate(AO16,AO17)</f>
        <v>948</v>
      </c>
      <c r="AP27" s="28" cm="1">
        <f t="array" ref="AP27">Comm_MCS_CodeRate(AP16,AP17)</f>
        <v>948</v>
      </c>
      <c r="AQ27" s="1" cm="1">
        <f t="array" ref="AQ27">Comm_MCS_CodeRate(AQ16,AQ17)</f>
        <v>948</v>
      </c>
      <c r="AR27" s="1" cm="1">
        <f t="array" ref="AR27">Comm_MCS_CodeRate(AR16,AR17)</f>
        <v>948</v>
      </c>
      <c r="AS27" s="1" cm="1">
        <f t="array" ref="AS27">Comm_MCS_CodeRate(AS16,AS17)</f>
        <v>948</v>
      </c>
      <c r="AT27" s="1" cm="1">
        <f t="array" ref="AT27">Comm_MCS_CodeRate(AT16,AT17)</f>
        <v>948</v>
      </c>
      <c r="AU27" s="1" cm="1">
        <f t="array" ref="AU27">Comm_MCS_CodeRate(AU16,AU17)</f>
        <v>948</v>
      </c>
      <c r="AV27" s="28" cm="1">
        <f t="array" ref="AV27">Comm_MCS_CodeRate(AV16,AV17)</f>
        <v>948</v>
      </c>
      <c r="AW27" s="1" cm="1">
        <f t="array" ref="AW27">Comm_MCS_CodeRate(AW16,AW17)</f>
        <v>948</v>
      </c>
      <c r="AX27" s="1" cm="1">
        <f t="array" ref="AX27">Comm_MCS_CodeRate(AX16,AX17)</f>
        <v>948</v>
      </c>
      <c r="AY27" s="1" cm="1">
        <f t="array" ref="AY27">Comm_MCS_CodeRate(AY16,AY17)</f>
        <v>948</v>
      </c>
      <c r="AZ27" s="1" cm="1">
        <f t="array" ref="AZ27">Comm_MCS_CodeRate(AZ16,AZ17)</f>
        <v>948</v>
      </c>
      <c r="BA27" s="28" cm="1">
        <f t="array" ref="BA27">Comm_MCS_CodeRate(BA16,BA17)</f>
        <v>948</v>
      </c>
      <c r="BB27" s="1" cm="1">
        <f t="array" ref="BB27">Comm_MCS_CodeRate(BB16,BB17)</f>
        <v>948</v>
      </c>
      <c r="BC27" s="1" cm="1">
        <f t="array" ref="BC27">Comm_MCS_CodeRate(BC16,BC17)</f>
        <v>948</v>
      </c>
      <c r="BD27" s="1" cm="1">
        <f t="array" ref="BD27">Comm_MCS_CodeRate(BD16,BD17)</f>
        <v>948</v>
      </c>
      <c r="BE27" s="1" cm="1">
        <f t="array" ref="BE27">Comm_MCS_CodeRate(BE16,BE17)</f>
        <v>948</v>
      </c>
    </row>
    <row r="28" spans="2:57" x14ac:dyDescent="0.35">
      <c r="B28" s="9" t="s">
        <v>31</v>
      </c>
      <c r="C28" s="1"/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28" cm="1">
        <f t="array" ref="I28">Comm_Z(I11,I26,I27,I12,I13,I10/I18)</f>
        <v>384</v>
      </c>
      <c r="J28" s="1" cm="1">
        <f t="array" ref="J28">Comm_Z(J11,J26,J27,J12,J13,J10/J18)</f>
        <v>384</v>
      </c>
      <c r="K28" s="1" cm="1">
        <f t="array" ref="K28">Comm_Z(K11,K26,K27,K12,K13,K10/K18)</f>
        <v>384</v>
      </c>
      <c r="L28" s="1" cm="1">
        <f t="array" ref="L28">Comm_Z(L11,L26,L27,L12,L13,L10/L18)</f>
        <v>384</v>
      </c>
      <c r="M28" s="1" cm="1">
        <f t="array" ref="M28">Comm_Z(M11,M26,M27,M12,M13,M10/M18)</f>
        <v>384</v>
      </c>
      <c r="N28" s="28" cm="1">
        <f t="array" ref="N28">Comm_Z(N11,N26,N27,N12,N13,N10/N18)</f>
        <v>384</v>
      </c>
      <c r="O28" s="1" cm="1">
        <f t="array" ref="O28">Comm_Z(O11,O26,O27,O12,O13,O10/O18)</f>
        <v>384</v>
      </c>
      <c r="P28" s="1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" cm="1">
        <f t="array" ref="S28">Comm_Z(S11,S26,S27,S12,S13,S10/S18)</f>
        <v>384</v>
      </c>
      <c r="T28" s="28" cm="1">
        <f t="array" ref="T28">Comm_Z(T11,T26,T27,T12,T13,T10/T18)</f>
        <v>384</v>
      </c>
      <c r="U28" s="1" cm="1">
        <f t="array" ref="U28">Comm_Z(U11,U26,U27,U12,U13,U10/U18)</f>
        <v>384</v>
      </c>
      <c r="V28" s="1" cm="1">
        <f t="array" ref="V28">Comm_Z(V11,V26,V27,V12,V13,V10/V18)</f>
        <v>384</v>
      </c>
      <c r="W28" s="1" cm="1">
        <f t="array" ref="W28">Comm_Z(W11,W26,W27,W12,W13,W10/W18)</f>
        <v>384</v>
      </c>
      <c r="X28" s="1" cm="1">
        <f t="array" ref="X28">Comm_Z(X11,X26,X27,X12,X13,X10/X18)</f>
        <v>384</v>
      </c>
      <c r="Y28" s="1" cm="1">
        <f t="array" ref="Y28">Comm_Z(Y11,Y26,Y27,Y12,Y13,Y10/Y18)</f>
        <v>384</v>
      </c>
      <c r="Z28" s="28" cm="1">
        <f t="array" ref="Z28">Comm_Z(Z11,Z26,Z27,Z12,Z13,Z10/Z18)</f>
        <v>384</v>
      </c>
      <c r="AA28" s="1" cm="1">
        <f t="array" ref="AA28">Comm_Z(AA11,AA26,AA27,AA12,AA13,AA10/AA18)</f>
        <v>384</v>
      </c>
      <c r="AB28" s="1" cm="1">
        <f t="array" ref="AB28">Comm_Z(AB11,AB26,AB27,AB12,AB13,AB10/AB18)</f>
        <v>384</v>
      </c>
      <c r="AC28" s="1" cm="1">
        <f t="array" ref="AC28">Comm_Z(AC11,AC26,AC27,AC12,AC13,AC10/AC18)</f>
        <v>384</v>
      </c>
      <c r="AD28" s="1" cm="1">
        <f t="array" ref="AD28">Comm_Z(AD11,AD26,AD27,AD12,AD13,AD10/AD18)</f>
        <v>384</v>
      </c>
      <c r="AE28" s="28" cm="1">
        <f t="array" ref="AE28">Comm_Z(AE11,AE26,AE27,AE12,AE13,AE10/AE18)</f>
        <v>384</v>
      </c>
      <c r="AF28" s="1" cm="1">
        <f t="array" ref="AF28">Comm_Z(AF11,AF26,AF27,AF12,AF13,AF10/AF18)</f>
        <v>384</v>
      </c>
      <c r="AG28" s="1" cm="1">
        <f t="array" ref="AG28">Comm_Z(AG11,AG26,AG27,AG12,AG13,AG10/AG18)</f>
        <v>384</v>
      </c>
      <c r="AH28" s="1" cm="1">
        <f t="array" ref="AH28">Comm_Z(AH11,AH26,AH27,AH12,AH13,AH10/AH18)</f>
        <v>384</v>
      </c>
      <c r="AI28" s="1" cm="1">
        <f t="array" ref="AI28">Comm_Z(AI11,AI26,AI27,AI12,AI13,AI10/AI18)</f>
        <v>384</v>
      </c>
      <c r="AJ28" s="28" cm="1">
        <f t="array" ref="AJ28">Comm_Z(AJ11,AJ26,AJ27,AJ12,AJ13,AJ10/AJ18)</f>
        <v>384</v>
      </c>
      <c r="AK28" s="1" cm="1">
        <f t="array" ref="AK28">Comm_Z(AK11,AK26,AK27,AK12,AK13,AK10/AK18)</f>
        <v>384</v>
      </c>
      <c r="AL28" s="1" cm="1">
        <f t="array" ref="AL28">Comm_Z(AL11,AL26,AL27,AL12,AL13,AL10/AL18)</f>
        <v>384</v>
      </c>
      <c r="AM28" s="1" cm="1">
        <f t="array" ref="AM28">Comm_Z(AM11,AM26,AM27,AM12,AM13,AM10/AM18)</f>
        <v>384</v>
      </c>
      <c r="AN28" s="1" cm="1">
        <f t="array" ref="AN28">Comm_Z(AN11,AN26,AN27,AN12,AN13,AN10/AN18)</f>
        <v>384</v>
      </c>
      <c r="AO28" s="1" cm="1">
        <f t="array" ref="AO28">Comm_Z(AO11,AO26,AO27,AO12,AO13,AO10/AO18)</f>
        <v>384</v>
      </c>
      <c r="AP28" s="28" cm="1">
        <f t="array" ref="AP28">Comm_Z(AP11,AP26,AP27,AP12,AP13,AP10/AP18)</f>
        <v>288</v>
      </c>
      <c r="AQ28" s="1" cm="1">
        <f t="array" ref="AQ28">Comm_Z(AQ11,AQ26,AQ27,AQ12,AQ13,AQ10/AQ18)</f>
        <v>288</v>
      </c>
      <c r="AR28" s="1" cm="1">
        <f t="array" ref="AR28">Comm_Z(AR11,AR26,AR27,AR12,AR13,AR10/AR18)</f>
        <v>288</v>
      </c>
      <c r="AS28" s="1" cm="1">
        <f t="array" ref="AS28">Comm_Z(AS11,AS26,AS27,AS12,AS13,AS10/AS18)</f>
        <v>288</v>
      </c>
      <c r="AT28" s="1" cm="1">
        <f t="array" ref="AT28">Comm_Z(AT11,AT26,AT27,AT12,AT13,AT10/AT18)</f>
        <v>288</v>
      </c>
      <c r="AU28" s="1" cm="1">
        <f t="array" ref="AU28">Comm_Z(AU11,AU26,AU27,AU12,AU13,AU10/AU18)</f>
        <v>288</v>
      </c>
      <c r="AV28" s="28" cm="1">
        <f t="array" ref="AV28">Comm_Z(AV11,AV26,AV27,AV12,AV13,AV10/AV18)</f>
        <v>384</v>
      </c>
      <c r="AW28" s="1" cm="1">
        <f t="array" ref="AW28">Comm_Z(AW11,AW26,AW27,AW12,AW13,AW10/AW18)</f>
        <v>384</v>
      </c>
      <c r="AX28" s="1" cm="1">
        <f t="array" ref="AX28">Comm_Z(AX11,AX26,AX27,AX12,AX13,AX10/AX18)</f>
        <v>384</v>
      </c>
      <c r="AY28" s="1" cm="1">
        <f t="array" ref="AY28">Comm_Z(AY11,AY26,AY27,AY12,AY13,AY10/AY18)</f>
        <v>384</v>
      </c>
      <c r="AZ28" s="1" cm="1">
        <f t="array" ref="AZ28">Comm_Z(AZ11,AZ26,AZ27,AZ12,AZ13,AZ10/AZ18)</f>
        <v>384</v>
      </c>
      <c r="BA28" s="28" cm="1">
        <f t="array" ref="BA28">Comm_Z(BA11,BA26,BA27,BA12,BA13,BA10/BA18)</f>
        <v>288</v>
      </c>
      <c r="BB28" s="1" cm="1">
        <f t="array" ref="BB28">Comm_Z(BB11,BB26,BB27,BB12,BB13,BB10/BB18)</f>
        <v>288</v>
      </c>
      <c r="BC28" s="1" cm="1">
        <f t="array" ref="BC28">Comm_Z(BC11,BC26,BC27,BC12,BC13,BC10/BC18)</f>
        <v>352</v>
      </c>
      <c r="BD28" s="1" cm="1">
        <f t="array" ref="BD28">Comm_Z(BD11,BD26,BD27,BD12,BD13,BD10/BD18)</f>
        <v>352</v>
      </c>
      <c r="BE28" s="1" cm="1">
        <f t="array" ref="BE28">Comm_Z(BE11,BE26,BE27,BE12,BE13,BE10/BE18)</f>
        <v>352</v>
      </c>
    </row>
    <row r="29" spans="2:57" x14ac:dyDescent="0.35">
      <c r="B29" s="9" t="s">
        <v>32</v>
      </c>
      <c r="C29" s="1"/>
      <c r="D29" s="28" cm="1">
        <f t="array" ref="D29">Comm_TBS(D11,D26,D27,D12,D13,D10/D18)</f>
        <v>62504</v>
      </c>
      <c r="E29" s="1" cm="1">
        <f t="array" ref="E29">Comm_TBS(E11,E26,E27,E12,E13,E10/E18)</f>
        <v>62504</v>
      </c>
      <c r="F29" s="1" cm="1">
        <f t="array" ref="F29">Comm_TBS(F11,F26,F27,F12,F13,F10/F18)</f>
        <v>125016</v>
      </c>
      <c r="G29" s="1" cm="1">
        <f t="array" ref="G29">Comm_TBS(G11,G26,G27,G12,G13,G10/G18)</f>
        <v>125016</v>
      </c>
      <c r="H29" s="1" cm="1">
        <f t="array" ref="H29">Comm_TBS(H11,H26,H27,H12,H13,H10/H18)</f>
        <v>125016</v>
      </c>
      <c r="I29" s="28" cm="1">
        <f t="array" ref="I29">Comm_TBS(I11,I26,I27,I12,I13,I10/I18)</f>
        <v>31240</v>
      </c>
      <c r="J29" s="1" cm="1">
        <f t="array" ref="J29">Comm_TBS(J11,J26,J27,J12,J13,J10/J18)</f>
        <v>31240</v>
      </c>
      <c r="K29" s="1" cm="1">
        <f t="array" ref="K29">Comm_TBS(K11,K26,K27,K12,K13,K10/K18)</f>
        <v>62504</v>
      </c>
      <c r="L29" s="1" cm="1">
        <f t="array" ref="L29">Comm_TBS(L11,L26,L27,L12,L13,L10/L18)</f>
        <v>62504</v>
      </c>
      <c r="M29" s="1" cm="1">
        <f t="array" ref="M29">Comm_TBS(M11,M26,M27,M12,M13,M10/M18)</f>
        <v>62504</v>
      </c>
      <c r="N29" s="28" cm="1">
        <f t="array" ref="N29">Comm_TBS(N11,N26,N27,N12,N13,N10/N18)</f>
        <v>83976</v>
      </c>
      <c r="O29" s="1" cm="1">
        <f t="array" ref="O29">Comm_TBS(O11,O26,O27,O12,O13,O10/O18)</f>
        <v>83976</v>
      </c>
      <c r="P29" s="1" cm="1">
        <f t="array" ref="P29">Comm_TBS(P11,P26,P27,P12,P13,P10/P18)</f>
        <v>83976</v>
      </c>
      <c r="Q29" s="1" cm="1">
        <f t="array" ref="Q29">Comm_TBS(Q11,Q26,Q27,Q12,Q13,Q10/Q18)</f>
        <v>83976</v>
      </c>
      <c r="R29" s="1" cm="1">
        <f t="array" ref="R29">Comm_TBS(R11,R26,R27,R12,R13,R10/R18)</f>
        <v>83976</v>
      </c>
      <c r="S29" s="1" cm="1">
        <f t="array" ref="S29">Comm_TBS(S11,S26,S27,S12,S13,S10/S18)</f>
        <v>83976</v>
      </c>
      <c r="T29" s="28" cm="1">
        <f t="array" ref="T29">Comm_TBS(T11,T26,T27,T12,T13,T10/T18)</f>
        <v>42016</v>
      </c>
      <c r="U29" s="1" cm="1">
        <f t="array" ref="U29">Comm_TBS(U11,U26,U27,U12,U13,U10/U18)</f>
        <v>42016</v>
      </c>
      <c r="V29" s="1" cm="1">
        <f t="array" ref="V29">Comm_TBS(V11,V26,V27,V12,V13,V10/V18)</f>
        <v>42016</v>
      </c>
      <c r="W29" s="1" cm="1">
        <f t="array" ref="W29">Comm_TBS(W11,W26,W27,W12,W13,W10/W18)</f>
        <v>42016</v>
      </c>
      <c r="X29" s="1" cm="1">
        <f t="array" ref="X29">Comm_TBS(X11,X26,X27,X12,X13,X10/X18)</f>
        <v>42016</v>
      </c>
      <c r="Y29" s="1" cm="1">
        <f t="array" ref="Y29">Comm_TBS(Y11,Y26,Y27,Y12,Y13,Y10/Y18)</f>
        <v>42016</v>
      </c>
      <c r="Z29" s="28" cm="1">
        <f t="array" ref="Z29">Comm_TBS(Z11,Z26,Z27,Z12,Z13,Z10/Z18)</f>
        <v>49176</v>
      </c>
      <c r="AA29" s="1" cm="1">
        <f t="array" ref="AA29">Comm_TBS(AA11,AA26,AA27,AA12,AA13,AA10/AA18)</f>
        <v>49176</v>
      </c>
      <c r="AB29" s="1" cm="1">
        <f t="array" ref="AB29">Comm_TBS(AB11,AB26,AB27,AB12,AB13,AB10/AB18)</f>
        <v>100392</v>
      </c>
      <c r="AC29" s="1" cm="1">
        <f t="array" ref="AC29">Comm_TBS(AC11,AC26,AC27,AC12,AC13,AC10/AC18)</f>
        <v>100392</v>
      </c>
      <c r="AD29" s="1" cm="1">
        <f t="array" ref="AD29">Comm_TBS(AD11,AD26,AD27,AD12,AD13,AD10/AD18)</f>
        <v>100392</v>
      </c>
      <c r="AE29" s="28" cm="1">
        <f t="array" ref="AE29">Comm_TBS(AE11,AE26,AE27,AE12,AE13,AE10/AE18)</f>
        <v>24072</v>
      </c>
      <c r="AF29" s="1" cm="1">
        <f t="array" ref="AF29">Comm_TBS(AF11,AF26,AF27,AF12,AF13,AF10/AF18)</f>
        <v>24072</v>
      </c>
      <c r="AG29" s="1" cm="1">
        <f t="array" ref="AG29">Comm_TBS(AG11,AG26,AG27,AG12,AG13,AG10/AG18)</f>
        <v>48168</v>
      </c>
      <c r="AH29" s="1" cm="1">
        <f t="array" ref="AH29">Comm_TBS(AH11,AH26,AH27,AH12,AH13,AH10/AH18)</f>
        <v>48168</v>
      </c>
      <c r="AI29" s="1" cm="1">
        <f t="array" ref="AI29">Comm_TBS(AI11,AI26,AI27,AI12,AI13,AI10/AI18)</f>
        <v>48168</v>
      </c>
      <c r="AJ29" s="28" cm="1">
        <f t="array" ref="AJ29">Comm_TBS(AJ11,AJ26,AJ27,AJ12,AJ13,AJ10/AJ18)</f>
        <v>38936</v>
      </c>
      <c r="AK29" s="1" cm="1">
        <f t="array" ref="AK29">Comm_TBS(AK11,AK26,AK27,AK12,AK13,AK10/AK18)</f>
        <v>38936</v>
      </c>
      <c r="AL29" s="1" cm="1">
        <f t="array" ref="AL29">Comm_TBS(AL11,AL26,AL27,AL12,AL13,AL10/AL18)</f>
        <v>38936</v>
      </c>
      <c r="AM29" s="1" cm="1">
        <f t="array" ref="AM29">Comm_TBS(AM11,AM26,AM27,AM12,AM13,AM10/AM18)</f>
        <v>38936</v>
      </c>
      <c r="AN29" s="1" cm="1">
        <f t="array" ref="AN29">Comm_TBS(AN11,AN26,AN27,AN12,AN13,AN10/AN18)</f>
        <v>38936</v>
      </c>
      <c r="AO29" s="1" cm="1">
        <f t="array" ref="AO29">Comm_TBS(AO11,AO26,AO27,AO12,AO13,AO10/AO18)</f>
        <v>38936</v>
      </c>
      <c r="AP29" s="28" cm="1">
        <f t="array" ref="AP29">Comm_TBS(AP11,AP26,AP27,AP12,AP13,AP10/AP18)</f>
        <v>18432</v>
      </c>
      <c r="AQ29" s="1" cm="1">
        <f t="array" ref="AQ29">Comm_TBS(AQ11,AQ26,AQ27,AQ12,AQ13,AQ10/AQ18)</f>
        <v>18432</v>
      </c>
      <c r="AR29" s="1" cm="1">
        <f t="array" ref="AR29">Comm_TBS(AR11,AR26,AR27,AR12,AR13,AR10/AR18)</f>
        <v>18432</v>
      </c>
      <c r="AS29" s="1" cm="1">
        <f t="array" ref="AS29">Comm_TBS(AS11,AS26,AS27,AS12,AS13,AS10/AS18)</f>
        <v>18432</v>
      </c>
      <c r="AT29" s="1" cm="1">
        <f t="array" ref="AT29">Comm_TBS(AT11,AT26,AT27,AT12,AT13,AT10/AT18)</f>
        <v>18432</v>
      </c>
      <c r="AU29" s="1" cm="1">
        <f t="array" ref="AU29">Comm_TBS(AU11,AU26,AU27,AU12,AU13,AU10/AU18)</f>
        <v>18432</v>
      </c>
      <c r="AV29" s="28" cm="1">
        <f t="array" ref="AV29">Comm_TBS(AV11,AV26,AV27,AV12,AV13,AV10/AV18)</f>
        <v>24072</v>
      </c>
      <c r="AW29" s="1" cm="1">
        <f t="array" ref="AW29">Comm_TBS(AW11,AW26,AW27,AW12,AW13,AW10/AW18)</f>
        <v>24072</v>
      </c>
      <c r="AX29" s="1" cm="1">
        <f t="array" ref="AX29">Comm_TBS(AX11,AX26,AX27,AX12,AX13,AX10/AX18)</f>
        <v>48168</v>
      </c>
      <c r="AY29" s="1" cm="1">
        <f t="array" ref="AY29">Comm_TBS(AY11,AY26,AY27,AY12,AY13,AY10/AY18)</f>
        <v>48168</v>
      </c>
      <c r="AZ29" s="1" cm="1">
        <f t="array" ref="AZ29">Comm_TBS(AZ11,AZ26,AZ27,AZ12,AZ13,AZ10/AZ18)</f>
        <v>48168</v>
      </c>
      <c r="BA29" s="28" cm="1">
        <f t="array" ref="BA29">Comm_TBS(BA11,BA26,BA27,BA12,BA13,BA10/BA18)</f>
        <v>11528</v>
      </c>
      <c r="BB29" s="1" cm="1">
        <f t="array" ref="BB29">Comm_TBS(BB11,BB26,BB27,BB12,BB13,BB10/BB18)</f>
        <v>11528</v>
      </c>
      <c r="BC29" s="1" cm="1">
        <f t="array" ref="BC29">Comm_TBS(BC11,BC26,BC27,BC12,BC13,BC10/BC18)</f>
        <v>23040</v>
      </c>
      <c r="BD29" s="1" cm="1">
        <f t="array" ref="BD29">Comm_TBS(BD11,BD26,BD27,BD12,BD13,BD10/BD18)</f>
        <v>23040</v>
      </c>
      <c r="BE29" s="1" cm="1">
        <f t="array" ref="BE29">Comm_TBS(BE11,BE26,BE27,BE12,BE13,BE10/BE18)</f>
        <v>23040</v>
      </c>
    </row>
    <row r="30" spans="2:57" x14ac:dyDescent="0.35">
      <c r="B30" s="9" t="s">
        <v>33</v>
      </c>
      <c r="C30" s="1"/>
      <c r="D30" s="28" cm="1">
        <f t="array" ref="D30">Comm_CB(D11,D26,D27,D12,D13,D10/D18)</f>
        <v>8</v>
      </c>
      <c r="E30" s="1" cm="1">
        <f t="array" ref="E30">Comm_CB(E11,E26,E27,E12,E13,E10/E18)</f>
        <v>8</v>
      </c>
      <c r="F30" s="1" cm="1">
        <f t="array" ref="F30">Comm_CB(F11,F26,F27,F12,F13,F10/F18)</f>
        <v>15</v>
      </c>
      <c r="G30" s="1" cm="1">
        <f t="array" ref="G30">Comm_CB(G11,G26,G27,G12,G13,G10/G18)</f>
        <v>15</v>
      </c>
      <c r="H30" s="1" cm="1">
        <f t="array" ref="H30">Comm_CB(H11,H26,H27,H12,H13,H10/H18)</f>
        <v>15</v>
      </c>
      <c r="I30" s="28" cm="1">
        <f t="array" ref="I30">Comm_CB(I11,I26,I27,I12,I13,I10/I18)</f>
        <v>4</v>
      </c>
      <c r="J30" s="1" cm="1">
        <f t="array" ref="J30">Comm_CB(J11,J26,J27,J12,J13,J10/J18)</f>
        <v>4</v>
      </c>
      <c r="K30" s="1" cm="1">
        <f t="array" ref="K30">Comm_CB(K11,K26,K27,K12,K13,K10/K18)</f>
        <v>8</v>
      </c>
      <c r="L30" s="1" cm="1">
        <f t="array" ref="L30">Comm_CB(L11,L26,L27,L12,L13,L10/L18)</f>
        <v>8</v>
      </c>
      <c r="M30" s="1" cm="1">
        <f t="array" ref="M30">Comm_CB(M11,M26,M27,M12,M13,M10/M18)</f>
        <v>8</v>
      </c>
      <c r="N30" s="28" cm="1">
        <f t="array" ref="N30">Comm_CB(N11,N26,N27,N12,N13,N10/N18)</f>
        <v>10</v>
      </c>
      <c r="O30" s="1" cm="1">
        <f t="array" ref="O30">Comm_CB(O11,O26,O27,O12,O13,O10/O18)</f>
        <v>10</v>
      </c>
      <c r="P30" s="1" cm="1">
        <f t="array" ref="P30">Comm_CB(P11,P26,P27,P12,P13,P10/P18)</f>
        <v>10</v>
      </c>
      <c r="Q30" s="1" cm="1">
        <f t="array" ref="Q30">Comm_CB(Q11,Q26,Q27,Q12,Q13,Q10/Q18)</f>
        <v>10</v>
      </c>
      <c r="R30" s="1" cm="1">
        <f t="array" ref="R30">Comm_CB(R11,R26,R27,R12,R13,R10/R18)</f>
        <v>10</v>
      </c>
      <c r="S30" s="1" cm="1">
        <f t="array" ref="S30">Comm_CB(S11,S26,S27,S12,S13,S10/S18)</f>
        <v>10</v>
      </c>
      <c r="T30" s="28" cm="1">
        <f t="array" ref="T30">Comm_CB(T11,T26,T27,T12,T13,T10/T18)</f>
        <v>5</v>
      </c>
      <c r="U30" s="1" cm="1">
        <f t="array" ref="U30">Comm_CB(U11,U26,U27,U12,U13,U10/U18)</f>
        <v>5</v>
      </c>
      <c r="V30" s="1" cm="1">
        <f t="array" ref="V30">Comm_CB(V11,V26,V27,V12,V13,V10/V18)</f>
        <v>5</v>
      </c>
      <c r="W30" s="1" cm="1">
        <f t="array" ref="W30">Comm_CB(W11,W26,W27,W12,W13,W10/W18)</f>
        <v>5</v>
      </c>
      <c r="X30" s="1" cm="1">
        <f t="array" ref="X30">Comm_CB(X11,X26,X27,X12,X13,X10/X18)</f>
        <v>5</v>
      </c>
      <c r="Y30" s="1" cm="1">
        <f t="array" ref="Y30">Comm_CB(Y11,Y26,Y27,Y12,Y13,Y10/Y18)</f>
        <v>5</v>
      </c>
      <c r="Z30" s="28" cm="1">
        <f t="array" ref="Z30">Comm_CB(Z11,Z26,Z27,Z12,Z13,Z10/Z18)</f>
        <v>6</v>
      </c>
      <c r="AA30" s="1" cm="1">
        <f t="array" ref="AA30">Comm_CB(AA11,AA26,AA27,AA12,AA13,AA10/AA18)</f>
        <v>6</v>
      </c>
      <c r="AB30" s="1" cm="1">
        <f t="array" ref="AB30">Comm_CB(AB11,AB26,AB27,AB12,AB13,AB10/AB18)</f>
        <v>12</v>
      </c>
      <c r="AC30" s="1" cm="1">
        <f t="array" ref="AC30">Comm_CB(AC11,AC26,AC27,AC12,AC13,AC10/AC18)</f>
        <v>12</v>
      </c>
      <c r="AD30" s="1" cm="1">
        <f t="array" ref="AD30">Comm_CB(AD11,AD26,AD27,AD12,AD13,AD10/AD18)</f>
        <v>12</v>
      </c>
      <c r="AE30" s="28" cm="1">
        <f t="array" ref="AE30">Comm_CB(AE11,AE26,AE27,AE12,AE13,AE10/AE18)</f>
        <v>3</v>
      </c>
      <c r="AF30" s="1" cm="1">
        <f t="array" ref="AF30">Comm_CB(AF11,AF26,AF27,AF12,AF13,AF10/AF18)</f>
        <v>3</v>
      </c>
      <c r="AG30" s="1" cm="1">
        <f t="array" ref="AG30">Comm_CB(AG11,AG26,AG27,AG12,AG13,AG10/AG18)</f>
        <v>6</v>
      </c>
      <c r="AH30" s="1" cm="1">
        <f t="array" ref="AH30">Comm_CB(AH11,AH26,AH27,AH12,AH13,AH10/AH18)</f>
        <v>6</v>
      </c>
      <c r="AI30" s="1" cm="1">
        <f t="array" ref="AI30">Comm_CB(AI11,AI26,AI27,AI12,AI13,AI10/AI18)</f>
        <v>6</v>
      </c>
      <c r="AJ30" s="28" cm="1">
        <f t="array" ref="AJ30">Comm_CB(AJ11,AJ26,AJ27,AJ12,AJ13,AJ10/AJ18)</f>
        <v>5</v>
      </c>
      <c r="AK30" s="1" cm="1">
        <f t="array" ref="AK30">Comm_CB(AK11,AK26,AK27,AK12,AK13,AK10/AK18)</f>
        <v>5</v>
      </c>
      <c r="AL30" s="1" cm="1">
        <f t="array" ref="AL30">Comm_CB(AL11,AL26,AL27,AL12,AL13,AL10/AL18)</f>
        <v>5</v>
      </c>
      <c r="AM30" s="1" cm="1">
        <f t="array" ref="AM30">Comm_CB(AM11,AM26,AM27,AM12,AM13,AM10/AM18)</f>
        <v>5</v>
      </c>
      <c r="AN30" s="1" cm="1">
        <f t="array" ref="AN30">Comm_CB(AN11,AN26,AN27,AN12,AN13,AN10/AN18)</f>
        <v>5</v>
      </c>
      <c r="AO30" s="1" cm="1">
        <f t="array" ref="AO30">Comm_CB(AO11,AO26,AO27,AO12,AO13,AO10/AO18)</f>
        <v>5</v>
      </c>
      <c r="AP30" s="28" cm="1">
        <f t="array" ref="AP30">Comm_CB(AP11,AP26,AP27,AP12,AP13,AP10/AP18)</f>
        <v>3</v>
      </c>
      <c r="AQ30" s="1" cm="1">
        <f t="array" ref="AQ30">Comm_CB(AQ11,AQ26,AQ27,AQ12,AQ13,AQ10/AQ18)</f>
        <v>3</v>
      </c>
      <c r="AR30" s="1" cm="1">
        <f t="array" ref="AR30">Comm_CB(AR11,AR26,AR27,AR12,AR13,AR10/AR18)</f>
        <v>3</v>
      </c>
      <c r="AS30" s="1" cm="1">
        <f t="array" ref="AS30">Comm_CB(AS11,AS26,AS27,AS12,AS13,AS10/AS18)</f>
        <v>3</v>
      </c>
      <c r="AT30" s="1" cm="1">
        <f t="array" ref="AT30">Comm_CB(AT11,AT26,AT27,AT12,AT13,AT10/AT18)</f>
        <v>3</v>
      </c>
      <c r="AU30" s="1" cm="1">
        <f t="array" ref="AU30">Comm_CB(AU11,AU26,AU27,AU12,AU13,AU10/AU18)</f>
        <v>3</v>
      </c>
      <c r="AV30" s="28" cm="1">
        <f t="array" ref="AV30">Comm_CB(AV11,AV26,AV27,AV12,AV13,AV10/AV18)</f>
        <v>3</v>
      </c>
      <c r="AW30" s="1" cm="1">
        <f t="array" ref="AW30">Comm_CB(AW11,AW26,AW27,AW12,AW13,AW10/AW18)</f>
        <v>3</v>
      </c>
      <c r="AX30" s="1" cm="1">
        <f t="array" ref="AX30">Comm_CB(AX11,AX26,AX27,AX12,AX13,AX10/AX18)</f>
        <v>6</v>
      </c>
      <c r="AY30" s="1" cm="1">
        <f t="array" ref="AY30">Comm_CB(AY11,AY26,AY27,AY12,AY13,AY10/AY18)</f>
        <v>6</v>
      </c>
      <c r="AZ30" s="1" cm="1">
        <f t="array" ref="AZ30">Comm_CB(AZ11,AZ26,AZ27,AZ12,AZ13,AZ10/AZ18)</f>
        <v>6</v>
      </c>
      <c r="BA30" s="28" cm="1">
        <f t="array" ref="BA30">Comm_CB(BA11,BA26,BA27,BA12,BA13,BA10/BA18)</f>
        <v>2</v>
      </c>
      <c r="BB30" s="1" cm="1">
        <f t="array" ref="BB30">Comm_CB(BB11,BB26,BB27,BB12,BB13,BB10/BB18)</f>
        <v>2</v>
      </c>
      <c r="BC30" s="1" cm="1">
        <f t="array" ref="BC30">Comm_CB(BC11,BC26,BC27,BC12,BC13,BC10/BC18)</f>
        <v>3</v>
      </c>
      <c r="BD30" s="1" cm="1">
        <f t="array" ref="BD30">Comm_CB(BD11,BD26,BD27,BD12,BD13,BD10/BD18)</f>
        <v>3</v>
      </c>
      <c r="BE30" s="1" cm="1">
        <f t="array" ref="BE30">Comm_CB(BE11,BE26,BE27,BE12,BE13,BE10/BE18)</f>
        <v>3</v>
      </c>
    </row>
    <row r="31" spans="2:57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30" cm="1">
        <f t="array" ref="I31">Comm_Parity_Nodes(I11,I26,I27,I12,I13,I10/I18)</f>
        <v>4</v>
      </c>
      <c r="J31" s="31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0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1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31" cm="1">
        <f t="array" ref="S31">Comm_Parity_Nodes(S11,S26,S27,S12,S13,S10/S18)</f>
        <v>4</v>
      </c>
      <c r="T31" s="30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1" cm="1">
        <f t="array" ref="V31">Comm_Parity_Nodes(V11,V26,V27,V12,V13,V10/V18)</f>
        <v>4</v>
      </c>
      <c r="W31" s="31" cm="1">
        <f t="array" ref="W31">Comm_Parity_Nodes(W11,W26,W27,W12,W13,W10/W18)</f>
        <v>4</v>
      </c>
      <c r="X31" s="31" cm="1">
        <f t="array" ref="X31">Comm_Parity_Nodes(X11,X26,X27,X12,X13,X10/X18)</f>
        <v>4</v>
      </c>
      <c r="Y31" s="31" cm="1">
        <f t="array" ref="Y31">Comm_Parity_Nodes(Y11,Y26,Y27,Y12,Y13,Y10/Y18)</f>
        <v>4</v>
      </c>
      <c r="Z31" s="30" cm="1">
        <f t="array" ref="Z31">Comm_Parity_Nodes(Z11,Z26,Z27,Z12,Z13,Z10/Z18)</f>
        <v>4</v>
      </c>
      <c r="AA31" s="31" cm="1">
        <f t="array" ref="AA31">Comm_Parity_Nodes(AA11,AA26,AA27,AA12,AA13,AA10/AA18)</f>
        <v>4</v>
      </c>
      <c r="AB31" s="31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30" cm="1">
        <f t="array" ref="AE31">Comm_Parity_Nodes(AE11,AE26,AE27,AE12,AE13,AE10/AE18)</f>
        <v>4</v>
      </c>
      <c r="AF31" s="31" cm="1">
        <f t="array" ref="AF31">Comm_Parity_Nodes(AF11,AF26,AF27,AF12,AF13,AF10/AF18)</f>
        <v>4</v>
      </c>
      <c r="AG31" s="31" cm="1">
        <f t="array" ref="AG31">Comm_Parity_Nodes(AG11,AG26,AG27,AG12,AG13,AG10/AG18)</f>
        <v>4</v>
      </c>
      <c r="AH31" s="31" cm="1">
        <f t="array" ref="AH31">Comm_Parity_Nodes(AH11,AH26,AH27,AH12,AH13,AH10/AH18)</f>
        <v>4</v>
      </c>
      <c r="AI31" s="31" cm="1">
        <f t="array" ref="AI31">Comm_Parity_Nodes(AI11,AI26,AI27,AI12,AI13,AI10/AI18)</f>
        <v>4</v>
      </c>
      <c r="AJ31" s="30" cm="1">
        <f t="array" ref="AJ31">Comm_Parity_Nodes(AJ11,AJ26,AJ27,AJ12,AJ13,AJ10/AJ18)</f>
        <v>4</v>
      </c>
      <c r="AK31" s="31" cm="1">
        <f t="array" ref="AK31">Comm_Parity_Nodes(AK11,AK26,AK27,AK12,AK13,AK10/AK18)</f>
        <v>4</v>
      </c>
      <c r="AL31" s="31" cm="1">
        <f t="array" ref="AL31">Comm_Parity_Nodes(AL11,AL26,AL27,AL12,AL13,AL10/AL18)</f>
        <v>4</v>
      </c>
      <c r="AM31" s="31" cm="1">
        <f t="array" ref="AM31">Comm_Parity_Nodes(AM11,AM26,AM27,AM12,AM13,AM10/AM18)</f>
        <v>4</v>
      </c>
      <c r="AN31" s="31" cm="1">
        <f t="array" ref="AN31">Comm_Parity_Nodes(AN11,AN26,AN27,AN12,AN13,AN10/AN18)</f>
        <v>4</v>
      </c>
      <c r="AO31" s="31" cm="1">
        <f t="array" ref="AO31">Comm_Parity_Nodes(AO11,AO26,AO27,AO12,AO13,AO10/AO18)</f>
        <v>4</v>
      </c>
      <c r="AP31" s="30" cm="1">
        <f t="array" ref="AP31">Comm_Parity_Nodes(AP11,AP26,AP27,AP12,AP13,AP10/AP18)</f>
        <v>4</v>
      </c>
      <c r="AQ31" s="31" cm="1">
        <f t="array" ref="AQ31">Comm_Parity_Nodes(AQ11,AQ26,AQ27,AQ12,AQ13,AQ10/AQ18)</f>
        <v>4</v>
      </c>
      <c r="AR31" s="31" cm="1">
        <f t="array" ref="AR31">Comm_Parity_Nodes(AR11,AR26,AR27,AR12,AR13,AR10/AR18)</f>
        <v>4</v>
      </c>
      <c r="AS31" s="31" cm="1">
        <f t="array" ref="AS31">Comm_Parity_Nodes(AS11,AS26,AS27,AS12,AS13,AS10/AS18)</f>
        <v>4</v>
      </c>
      <c r="AT31" s="31" cm="1">
        <f t="array" ref="AT31">Comm_Parity_Nodes(AT11,AT26,AT27,AT12,AT13,AT10/AT18)</f>
        <v>4</v>
      </c>
      <c r="AU31" s="31" cm="1">
        <f t="array" ref="AU31">Comm_Parity_Nodes(AU11,AU26,AU27,AU12,AU13,AU10/AU18)</f>
        <v>4</v>
      </c>
      <c r="AV31" s="30" cm="1">
        <f t="array" ref="AV31">Comm_Parity_Nodes(AV11,AV26,AV27,AV12,AV13,AV10/AV18)</f>
        <v>4</v>
      </c>
      <c r="AW31" s="31" cm="1">
        <f t="array" ref="AW31">Comm_Parity_Nodes(AW11,AW26,AW27,AW12,AW13,AW10/AW18)</f>
        <v>4</v>
      </c>
      <c r="AX31" s="31" cm="1">
        <f t="array" ref="AX31">Comm_Parity_Nodes(AX11,AX26,AX27,AX12,AX13,AX10/AX18)</f>
        <v>4</v>
      </c>
      <c r="AY31" s="31" cm="1">
        <f t="array" ref="AY31">Comm_Parity_Nodes(AY11,AY26,AY27,AY12,AY13,AY10/AY18)</f>
        <v>4</v>
      </c>
      <c r="AZ31" s="31" cm="1">
        <f t="array" ref="AZ31">Comm_Parity_Nodes(AZ11,AZ26,AZ27,AZ12,AZ13,AZ10/AZ18)</f>
        <v>4</v>
      </c>
      <c r="BA31" s="30" cm="1">
        <f t="array" ref="BA31">Comm_Parity_Nodes(BA11,BA26,BA27,BA12,BA13,BA10/BA18)</f>
        <v>4</v>
      </c>
      <c r="BB31" s="31" cm="1">
        <f t="array" ref="BB31">Comm_Parity_Nodes(BB11,BB26,BB27,BB12,BB13,BB10/BB18)</f>
        <v>4</v>
      </c>
      <c r="BC31" s="31" cm="1">
        <f t="array" ref="BC31">Comm_Parity_Nodes(BC11,BC26,BC27,BC12,BC13,BC10/BC18)</f>
        <v>4</v>
      </c>
      <c r="BD31" s="31" cm="1">
        <f t="array" ref="BD31">Comm_Parity_Nodes(BD11,BD26,BD27,BD12,BD13,BD10/BD18)</f>
        <v>4</v>
      </c>
      <c r="BE31" s="31" cm="1">
        <f t="array" ref="BE31">Comm_Parity_Nodes(BE11,BE26,BE27,BE12,BE13,BE10/BE18)</f>
        <v>4</v>
      </c>
    </row>
    <row r="32" spans="2:57" x14ac:dyDescent="0.35">
      <c r="B32" s="6" t="s">
        <v>35</v>
      </c>
      <c r="D32" s="29"/>
      <c r="E32" s="17"/>
      <c r="F32" s="17"/>
      <c r="G32" s="17"/>
      <c r="H32" s="17"/>
      <c r="I32" s="29"/>
      <c r="J32" s="17"/>
      <c r="K32" s="17"/>
      <c r="L32" s="17"/>
      <c r="M32" s="17"/>
      <c r="N32" s="29"/>
      <c r="O32" s="17"/>
      <c r="P32" s="17"/>
      <c r="Q32" s="17"/>
      <c r="R32" s="17"/>
      <c r="S32" s="17"/>
      <c r="T32" s="29"/>
      <c r="U32" s="17"/>
      <c r="V32" s="17"/>
      <c r="W32" s="17"/>
      <c r="X32" s="17"/>
      <c r="Y32" s="17"/>
      <c r="Z32" s="29"/>
      <c r="AA32" s="17"/>
      <c r="AB32" s="17"/>
      <c r="AC32" s="17"/>
      <c r="AD32" s="17"/>
      <c r="AE32" s="29"/>
      <c r="AF32" s="17"/>
      <c r="AG32" s="17"/>
      <c r="AH32" s="17"/>
      <c r="AI32" s="17"/>
      <c r="AJ32" s="29"/>
      <c r="AK32" s="17"/>
      <c r="AL32" s="17"/>
      <c r="AM32" s="17"/>
      <c r="AN32" s="17"/>
      <c r="AO32" s="17"/>
      <c r="AP32" s="29"/>
      <c r="AQ32" s="17"/>
      <c r="AR32" s="17"/>
      <c r="AS32" s="17"/>
      <c r="AT32" s="17"/>
      <c r="AU32" s="17"/>
      <c r="AV32" s="29"/>
      <c r="AW32" s="17"/>
      <c r="AX32" s="17"/>
      <c r="AY32" s="17"/>
      <c r="AZ32" s="17"/>
      <c r="BA32" s="29"/>
      <c r="BB32" s="17"/>
      <c r="BC32" s="17"/>
      <c r="BD32" s="17"/>
      <c r="BE32" s="17"/>
    </row>
    <row r="33" spans="2:57" x14ac:dyDescent="0.35">
      <c r="B33" s="9" t="s">
        <v>36</v>
      </c>
      <c r="D33" s="26"/>
      <c r="I33" s="26"/>
      <c r="N33" s="26"/>
      <c r="T33" s="26"/>
      <c r="Z33" s="26"/>
      <c r="AE33" s="26"/>
      <c r="AJ33" s="26"/>
      <c r="AP33" s="26"/>
      <c r="AV33" s="26"/>
      <c r="BA33" s="26"/>
    </row>
    <row r="34" spans="2:57" ht="15" thickBot="1" x14ac:dyDescent="0.4">
      <c r="B34" s="40" t="s">
        <v>56</v>
      </c>
      <c r="D34" s="38">
        <f>SUMPRODUCT(D18:H18, D29:H29)  / 5 / 0.5/1000/1000</f>
        <v>0.20002240000000002</v>
      </c>
      <c r="E34" s="32"/>
      <c r="F34" s="32"/>
      <c r="G34" s="32"/>
      <c r="H34" s="32"/>
      <c r="I34" s="38">
        <f>SUMPRODUCT(I18:M18, I29:M29)  / 5 / 0.5/1000/1000</f>
        <v>9.9996800000000011E-2</v>
      </c>
      <c r="J34" s="32"/>
      <c r="K34" s="32"/>
      <c r="L34" s="32"/>
      <c r="M34" s="32"/>
      <c r="N34" s="38">
        <f>SUMPRODUCT(N18:S18, N29:S29)  / 5 / 0.5/1000/1000</f>
        <v>0.20154239999999998</v>
      </c>
      <c r="O34" s="32"/>
      <c r="P34" s="32"/>
      <c r="Q34" s="32"/>
      <c r="R34" s="32"/>
      <c r="S34" s="32"/>
      <c r="T34" s="38">
        <f>SUMPRODUCT(T18:Y18, T29:Y29)  / 5 / 0.5/1000/1000</f>
        <v>0.10083839999999999</v>
      </c>
      <c r="U34" s="32"/>
      <c r="V34" s="32"/>
      <c r="W34" s="32"/>
      <c r="X34" s="32"/>
      <c r="Y34" s="32"/>
      <c r="Z34" s="38">
        <f>SUMPRODUCT(Z18:AD18, Z29:AD29)  / 5 / 0.5/1000/1000</f>
        <v>0.15981120000000001</v>
      </c>
      <c r="AA34" s="32"/>
      <c r="AB34" s="32"/>
      <c r="AC34" s="32"/>
      <c r="AD34" s="32"/>
      <c r="AE34" s="38">
        <f>SUMPRODUCT(AE18:AI18, AE29:AI29)  / 5 / 0.5/1000/1000</f>
        <v>7.7059200000000008E-2</v>
      </c>
      <c r="AF34" s="32"/>
      <c r="AG34" s="32"/>
      <c r="AH34" s="32"/>
      <c r="AI34" s="32"/>
      <c r="AJ34" s="38">
        <f>SUMPRODUCT(AJ18:AO18, AJ29:AO29)  / 5 / 0.5/1000/1000</f>
        <v>9.3446399999999999E-2</v>
      </c>
      <c r="AK34" s="32"/>
      <c r="AL34" s="32"/>
      <c r="AM34" s="32"/>
      <c r="AN34" s="32"/>
      <c r="AO34" s="32"/>
      <c r="AP34" s="38">
        <f>SUMPRODUCT(AP18:AU18, AP29:AU29)  / 5 / 0.5/1000/1000</f>
        <v>4.42368E-2</v>
      </c>
      <c r="AQ34" s="32"/>
      <c r="AR34" s="32"/>
      <c r="AS34" s="32"/>
      <c r="AT34" s="32"/>
      <c r="AU34" s="32"/>
      <c r="AV34" s="38">
        <f>SUMPRODUCT(AV18:BA18, AV29:BA29)  / 5 / 0.5/1000/1000</f>
        <v>8.1670400000000004E-2</v>
      </c>
      <c r="AW34" s="32"/>
      <c r="AX34" s="32"/>
      <c r="AY34" s="32"/>
      <c r="AZ34" s="32"/>
      <c r="BA34" s="38">
        <f>SUMPRODUCT(BA18:BF18, BA29:BF29)  / 5 / 0.5/1000/1000</f>
        <v>3.6870400000000005E-2</v>
      </c>
      <c r="BB34" s="32"/>
      <c r="BC34" s="32"/>
      <c r="BD34" s="32"/>
      <c r="BE34" s="32"/>
    </row>
    <row r="35" spans="2:57" x14ac:dyDescent="0.35">
      <c r="D35" t="s">
        <v>99</v>
      </c>
      <c r="F35" t="s">
        <v>98</v>
      </c>
      <c r="I35" t="s">
        <v>99</v>
      </c>
      <c r="K35" t="s">
        <v>98</v>
      </c>
      <c r="N35" t="s">
        <v>104</v>
      </c>
      <c r="T35" t="s">
        <v>104</v>
      </c>
      <c r="Z35" t="s">
        <v>99</v>
      </c>
      <c r="AB35" t="s">
        <v>98</v>
      </c>
      <c r="AE35" t="s">
        <v>99</v>
      </c>
      <c r="AG35" t="s">
        <v>98</v>
      </c>
      <c r="AJ35" t="s">
        <v>104</v>
      </c>
      <c r="AP35" t="s">
        <v>104</v>
      </c>
      <c r="AV35" t="s">
        <v>99</v>
      </c>
      <c r="AX35" t="s">
        <v>98</v>
      </c>
      <c r="BA35" t="s">
        <v>99</v>
      </c>
      <c r="BC35" t="s">
        <v>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C5429-05BA-48F3-BAE1-8FA34D73E5CF}">
  <dimension ref="B1:U34"/>
  <sheetViews>
    <sheetView tabSelected="1" topLeftCell="A2" zoomScale="85" zoomScaleNormal="85" workbookViewId="0">
      <selection activeCell="J36" sqref="J36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21" ht="15" thickBot="1" x14ac:dyDescent="0.4"/>
    <row r="2" spans="2:21" x14ac:dyDescent="0.35">
      <c r="B2" s="2" t="s">
        <v>0</v>
      </c>
      <c r="C2" s="1"/>
      <c r="D2" s="54" t="s">
        <v>84</v>
      </c>
      <c r="E2" s="54" t="s">
        <v>88</v>
      </c>
      <c r="F2" s="21" t="s">
        <v>142</v>
      </c>
      <c r="G2" s="24"/>
      <c r="H2" s="24"/>
      <c r="I2" s="24"/>
      <c r="J2" s="24" t="s">
        <v>143</v>
      </c>
      <c r="K2" s="61"/>
      <c r="L2" s="61"/>
      <c r="M2" s="24"/>
      <c r="N2" s="21" t="s">
        <v>136</v>
      </c>
      <c r="O2" s="24"/>
      <c r="P2" s="24"/>
      <c r="Q2" s="24"/>
      <c r="R2" s="24" t="s">
        <v>137</v>
      </c>
      <c r="S2" s="61"/>
      <c r="T2" s="61"/>
      <c r="U2" s="25"/>
    </row>
    <row r="3" spans="2:21" x14ac:dyDescent="0.35">
      <c r="B3" s="3" t="s">
        <v>3</v>
      </c>
      <c r="C3" s="1"/>
      <c r="D3" s="55">
        <v>100</v>
      </c>
      <c r="E3" s="55">
        <v>100</v>
      </c>
      <c r="F3" s="26">
        <v>100</v>
      </c>
      <c r="G3">
        <v>100</v>
      </c>
      <c r="H3">
        <v>100</v>
      </c>
      <c r="I3" s="19">
        <v>100</v>
      </c>
      <c r="J3" s="26">
        <v>100</v>
      </c>
      <c r="K3">
        <v>100</v>
      </c>
      <c r="L3">
        <v>100</v>
      </c>
      <c r="M3" s="19">
        <v>100</v>
      </c>
      <c r="N3" s="26">
        <v>20</v>
      </c>
      <c r="O3">
        <v>20</v>
      </c>
      <c r="P3">
        <v>20</v>
      </c>
      <c r="Q3">
        <v>20</v>
      </c>
      <c r="R3" s="26">
        <v>20</v>
      </c>
      <c r="S3">
        <v>20</v>
      </c>
      <c r="T3">
        <v>20</v>
      </c>
      <c r="U3" s="19">
        <v>20</v>
      </c>
    </row>
    <row r="4" spans="2:21" x14ac:dyDescent="0.35">
      <c r="B4" s="3" t="s">
        <v>4</v>
      </c>
      <c r="C4" s="1"/>
      <c r="D4" s="55">
        <v>273</v>
      </c>
      <c r="E4" s="55">
        <v>273</v>
      </c>
      <c r="F4" s="26">
        <v>273</v>
      </c>
      <c r="G4">
        <v>273</v>
      </c>
      <c r="H4">
        <v>273</v>
      </c>
      <c r="I4" s="19">
        <v>273</v>
      </c>
      <c r="J4" s="26">
        <v>273</v>
      </c>
      <c r="K4">
        <v>273</v>
      </c>
      <c r="L4">
        <v>273</v>
      </c>
      <c r="M4" s="19">
        <v>273</v>
      </c>
      <c r="N4" s="26">
        <v>51</v>
      </c>
      <c r="O4">
        <v>51</v>
      </c>
      <c r="P4">
        <v>51</v>
      </c>
      <c r="Q4">
        <v>51</v>
      </c>
      <c r="R4" s="26">
        <v>51</v>
      </c>
      <c r="S4">
        <v>51</v>
      </c>
      <c r="T4">
        <v>51</v>
      </c>
      <c r="U4" s="19">
        <v>51</v>
      </c>
    </row>
    <row r="5" spans="2:21" x14ac:dyDescent="0.35">
      <c r="B5" s="3" t="s">
        <v>5</v>
      </c>
      <c r="D5" s="55">
        <v>273</v>
      </c>
      <c r="E5" s="55">
        <v>273</v>
      </c>
      <c r="F5" s="26">
        <v>273</v>
      </c>
      <c r="G5">
        <v>273</v>
      </c>
      <c r="H5">
        <v>273</v>
      </c>
      <c r="I5" s="19">
        <v>273</v>
      </c>
      <c r="J5" s="26">
        <v>273</v>
      </c>
      <c r="K5">
        <v>273</v>
      </c>
      <c r="L5">
        <v>273</v>
      </c>
      <c r="M5" s="19">
        <v>273</v>
      </c>
      <c r="N5" s="26">
        <v>51</v>
      </c>
      <c r="O5">
        <v>51</v>
      </c>
      <c r="P5">
        <v>51</v>
      </c>
      <c r="Q5">
        <v>51</v>
      </c>
      <c r="R5" s="26">
        <v>51</v>
      </c>
      <c r="S5">
        <v>51</v>
      </c>
      <c r="T5">
        <v>51</v>
      </c>
      <c r="U5" s="19">
        <v>51</v>
      </c>
    </row>
    <row r="6" spans="2:21" x14ac:dyDescent="0.35">
      <c r="B6" s="3" t="s">
        <v>6</v>
      </c>
      <c r="C6" s="1"/>
      <c r="D6" s="56">
        <v>1</v>
      </c>
      <c r="E6" s="56">
        <v>1</v>
      </c>
      <c r="F6" s="28">
        <v>1</v>
      </c>
      <c r="G6" s="1">
        <v>2</v>
      </c>
      <c r="H6" s="1">
        <v>3</v>
      </c>
      <c r="I6" s="11">
        <v>4</v>
      </c>
      <c r="J6" s="28">
        <v>1</v>
      </c>
      <c r="K6" s="1">
        <v>2</v>
      </c>
      <c r="L6" s="1">
        <v>3</v>
      </c>
      <c r="M6" s="11">
        <v>4</v>
      </c>
      <c r="N6" s="28">
        <v>1</v>
      </c>
      <c r="O6" s="1">
        <v>2</v>
      </c>
      <c r="P6" s="1">
        <v>3</v>
      </c>
      <c r="Q6" s="11">
        <v>4</v>
      </c>
      <c r="R6" s="28">
        <v>1</v>
      </c>
      <c r="S6" s="1">
        <v>2</v>
      </c>
      <c r="T6" s="1">
        <v>3</v>
      </c>
      <c r="U6" s="11">
        <v>4</v>
      </c>
    </row>
    <row r="7" spans="2:21" x14ac:dyDescent="0.35">
      <c r="B7" s="3" t="s">
        <v>7</v>
      </c>
      <c r="C7" s="1"/>
      <c r="D7" s="57">
        <f t="shared" ref="D7:S7" si="0">D11/D5</f>
        <v>1</v>
      </c>
      <c r="E7" s="57">
        <f t="shared" si="0"/>
        <v>0.49816849816849818</v>
      </c>
      <c r="F7" s="27">
        <f t="shared" ref="F7:K7" si="1">F11/F5</f>
        <v>0.24908424908424909</v>
      </c>
      <c r="G7" s="14">
        <f t="shared" ref="G7:H7" si="2">G11/G5</f>
        <v>0.24908424908424909</v>
      </c>
      <c r="H7" s="14">
        <f t="shared" si="2"/>
        <v>0.24908424908424909</v>
      </c>
      <c r="I7" s="15">
        <f t="shared" si="1"/>
        <v>0.24908424908424909</v>
      </c>
      <c r="J7" s="27">
        <f t="shared" si="1"/>
        <v>0.12454212454212454</v>
      </c>
      <c r="K7" s="14">
        <f t="shared" si="1"/>
        <v>0.12454212454212454</v>
      </c>
      <c r="L7" s="14">
        <f t="shared" ref="L7:M7" si="3">L11/L5</f>
        <v>0.12454212454212454</v>
      </c>
      <c r="M7" s="15">
        <f t="shared" si="3"/>
        <v>0.12454212454212454</v>
      </c>
      <c r="N7" s="27">
        <f t="shared" si="0"/>
        <v>0.23529411764705882</v>
      </c>
      <c r="O7" s="14">
        <f t="shared" si="0"/>
        <v>0.23529411764705882</v>
      </c>
      <c r="P7" s="14">
        <f t="shared" ref="P7:Q7" si="4">P11/P5</f>
        <v>0.23529411764705882</v>
      </c>
      <c r="Q7" s="15">
        <f t="shared" si="4"/>
        <v>0.23529411764705882</v>
      </c>
      <c r="R7" s="27">
        <f t="shared" si="0"/>
        <v>0.11764705882352941</v>
      </c>
      <c r="S7" s="14">
        <f t="shared" si="0"/>
        <v>0.11764705882352941</v>
      </c>
      <c r="T7" s="14">
        <f t="shared" ref="T7:U7" si="5">T11/T5</f>
        <v>0.11764705882352941</v>
      </c>
      <c r="U7" s="15">
        <f t="shared" si="5"/>
        <v>0.11764705882352941</v>
      </c>
    </row>
    <row r="8" spans="2:21" x14ac:dyDescent="0.35">
      <c r="B8" s="4" t="s">
        <v>8</v>
      </c>
      <c r="C8" s="1"/>
      <c r="D8" s="55">
        <v>1</v>
      </c>
      <c r="E8" s="55">
        <v>1</v>
      </c>
      <c r="F8" s="26">
        <v>1</v>
      </c>
      <c r="G8">
        <v>1</v>
      </c>
      <c r="H8">
        <v>1</v>
      </c>
      <c r="I8" s="19">
        <v>1</v>
      </c>
      <c r="J8" s="26">
        <v>1</v>
      </c>
      <c r="K8">
        <v>1</v>
      </c>
      <c r="L8">
        <v>1</v>
      </c>
      <c r="M8" s="19">
        <v>1</v>
      </c>
      <c r="N8" s="26">
        <v>1</v>
      </c>
      <c r="O8">
        <v>1</v>
      </c>
      <c r="P8">
        <v>1</v>
      </c>
      <c r="Q8" s="19">
        <v>1</v>
      </c>
      <c r="R8" s="26">
        <v>1</v>
      </c>
      <c r="S8">
        <v>1</v>
      </c>
      <c r="T8">
        <v>1</v>
      </c>
      <c r="U8" s="19">
        <v>1</v>
      </c>
    </row>
    <row r="9" spans="2:21" x14ac:dyDescent="0.35">
      <c r="B9" s="4" t="s">
        <v>9</v>
      </c>
      <c r="C9" s="1"/>
      <c r="D9" s="55">
        <v>8</v>
      </c>
      <c r="E9" s="55">
        <v>8</v>
      </c>
      <c r="F9" s="26">
        <v>8</v>
      </c>
      <c r="G9">
        <v>8</v>
      </c>
      <c r="H9">
        <v>8</v>
      </c>
      <c r="I9" s="19">
        <v>8</v>
      </c>
      <c r="J9" s="26">
        <v>8</v>
      </c>
      <c r="K9">
        <v>8</v>
      </c>
      <c r="L9">
        <v>8</v>
      </c>
      <c r="M9" s="19">
        <v>8</v>
      </c>
      <c r="N9" s="26">
        <v>8</v>
      </c>
      <c r="O9">
        <v>8</v>
      </c>
      <c r="P9">
        <v>8</v>
      </c>
      <c r="Q9" s="19">
        <v>8</v>
      </c>
      <c r="R9" s="26">
        <v>8</v>
      </c>
      <c r="S9">
        <v>8</v>
      </c>
      <c r="T9">
        <v>8</v>
      </c>
      <c r="U9" s="19">
        <v>8</v>
      </c>
    </row>
    <row r="10" spans="2:21" x14ac:dyDescent="0.35">
      <c r="B10" s="4" t="s">
        <v>10</v>
      </c>
      <c r="C10" s="1"/>
      <c r="D10" s="55">
        <v>8</v>
      </c>
      <c r="E10" s="55">
        <v>8</v>
      </c>
      <c r="F10" s="26">
        <v>8</v>
      </c>
      <c r="G10">
        <v>8</v>
      </c>
      <c r="H10">
        <v>8</v>
      </c>
      <c r="I10" s="19">
        <v>8</v>
      </c>
      <c r="J10" s="26">
        <v>8</v>
      </c>
      <c r="K10">
        <v>8</v>
      </c>
      <c r="L10">
        <v>8</v>
      </c>
      <c r="M10" s="19">
        <v>8</v>
      </c>
      <c r="N10" s="26">
        <v>8</v>
      </c>
      <c r="O10">
        <v>8</v>
      </c>
      <c r="P10">
        <v>8</v>
      </c>
      <c r="Q10" s="19">
        <v>8</v>
      </c>
      <c r="R10" s="26">
        <v>8</v>
      </c>
      <c r="S10">
        <v>8</v>
      </c>
      <c r="T10">
        <v>8</v>
      </c>
      <c r="U10" s="19">
        <v>8</v>
      </c>
    </row>
    <row r="11" spans="2:21" x14ac:dyDescent="0.35">
      <c r="B11" s="3" t="s">
        <v>11</v>
      </c>
      <c r="C11" s="1"/>
      <c r="D11" s="56">
        <v>273</v>
      </c>
      <c r="E11" s="56">
        <v>136</v>
      </c>
      <c r="F11" s="28">
        <v>68</v>
      </c>
      <c r="G11" s="1">
        <v>68</v>
      </c>
      <c r="H11" s="1">
        <v>68</v>
      </c>
      <c r="I11" s="1">
        <v>68</v>
      </c>
      <c r="J11" s="28">
        <v>34</v>
      </c>
      <c r="K11" s="1">
        <v>34</v>
      </c>
      <c r="L11" s="1">
        <v>34</v>
      </c>
      <c r="M11" s="1">
        <v>34</v>
      </c>
      <c r="N11" s="28">
        <v>12</v>
      </c>
      <c r="O11" s="1">
        <v>12</v>
      </c>
      <c r="P11" s="1">
        <v>12</v>
      </c>
      <c r="Q11" s="1">
        <v>12</v>
      </c>
      <c r="R11" s="28">
        <v>6</v>
      </c>
      <c r="S11" s="1">
        <v>6</v>
      </c>
      <c r="T11" s="1">
        <v>6</v>
      </c>
      <c r="U11" s="11">
        <v>6</v>
      </c>
    </row>
    <row r="12" spans="2:21" x14ac:dyDescent="0.35">
      <c r="B12" s="3" t="s">
        <v>12</v>
      </c>
      <c r="C12" s="1"/>
      <c r="D12" s="56">
        <v>12</v>
      </c>
      <c r="E12" s="56">
        <v>12</v>
      </c>
      <c r="F12" s="28">
        <v>12</v>
      </c>
      <c r="G12" s="1">
        <v>12</v>
      </c>
      <c r="H12" s="1">
        <v>12</v>
      </c>
      <c r="I12" s="11">
        <v>12</v>
      </c>
      <c r="J12" s="28">
        <v>12</v>
      </c>
      <c r="K12" s="1">
        <v>12</v>
      </c>
      <c r="L12" s="1">
        <v>12</v>
      </c>
      <c r="M12" s="11">
        <v>12</v>
      </c>
      <c r="N12" s="28">
        <v>12</v>
      </c>
      <c r="O12" s="1">
        <v>12</v>
      </c>
      <c r="P12" s="1">
        <v>12</v>
      </c>
      <c r="Q12" s="11">
        <v>12</v>
      </c>
      <c r="R12" s="28">
        <v>12</v>
      </c>
      <c r="S12" s="1">
        <v>12</v>
      </c>
      <c r="T12" s="1">
        <v>12</v>
      </c>
      <c r="U12" s="11">
        <v>12</v>
      </c>
    </row>
    <row r="13" spans="2:21" x14ac:dyDescent="0.35">
      <c r="B13" s="3" t="s">
        <v>13</v>
      </c>
      <c r="C13" s="1"/>
      <c r="D13" s="56">
        <v>2</v>
      </c>
      <c r="E13" s="56">
        <v>2</v>
      </c>
      <c r="F13" s="28">
        <v>2</v>
      </c>
      <c r="G13" s="1">
        <v>2</v>
      </c>
      <c r="H13" s="1">
        <v>2</v>
      </c>
      <c r="I13" s="11">
        <v>2</v>
      </c>
      <c r="J13" s="28">
        <v>2</v>
      </c>
      <c r="K13" s="1">
        <v>2</v>
      </c>
      <c r="L13" s="1">
        <v>2</v>
      </c>
      <c r="M13" s="11">
        <v>2</v>
      </c>
      <c r="N13" s="28">
        <v>2</v>
      </c>
      <c r="O13" s="1">
        <v>2</v>
      </c>
      <c r="P13" s="1">
        <v>2</v>
      </c>
      <c r="Q13" s="11">
        <v>2</v>
      </c>
      <c r="R13" s="28">
        <v>2</v>
      </c>
      <c r="S13" s="1">
        <v>2</v>
      </c>
      <c r="T13" s="1">
        <v>2</v>
      </c>
      <c r="U13" s="11">
        <v>2</v>
      </c>
    </row>
    <row r="14" spans="2:21" x14ac:dyDescent="0.35">
      <c r="B14" s="5" t="s">
        <v>14</v>
      </c>
      <c r="C14" s="1"/>
      <c r="D14" s="56">
        <v>2</v>
      </c>
      <c r="E14" s="56">
        <v>2</v>
      </c>
      <c r="F14" s="28">
        <v>2</v>
      </c>
      <c r="G14" s="1">
        <v>2</v>
      </c>
      <c r="H14" s="1">
        <v>2</v>
      </c>
      <c r="I14" s="11">
        <v>2</v>
      </c>
      <c r="J14" s="28">
        <v>2</v>
      </c>
      <c r="K14" s="1">
        <v>2</v>
      </c>
      <c r="L14" s="1">
        <v>2</v>
      </c>
      <c r="M14" s="11">
        <v>2</v>
      </c>
      <c r="N14" s="28">
        <v>2</v>
      </c>
      <c r="O14" s="1">
        <v>2</v>
      </c>
      <c r="P14" s="1">
        <v>2</v>
      </c>
      <c r="Q14" s="11">
        <v>2</v>
      </c>
      <c r="R14" s="28">
        <v>2</v>
      </c>
      <c r="S14" s="1">
        <v>2</v>
      </c>
      <c r="T14" s="1">
        <v>2</v>
      </c>
      <c r="U14" s="11">
        <v>2</v>
      </c>
    </row>
    <row r="15" spans="2:21" x14ac:dyDescent="0.35">
      <c r="B15" s="5" t="s">
        <v>15</v>
      </c>
      <c r="C15" s="1"/>
      <c r="D15" s="56">
        <v>0</v>
      </c>
      <c r="E15" s="56">
        <v>0</v>
      </c>
      <c r="F15" s="28">
        <v>0</v>
      </c>
      <c r="G15" s="1">
        <v>0</v>
      </c>
      <c r="H15" s="1">
        <v>0</v>
      </c>
      <c r="I15" s="11">
        <v>0</v>
      </c>
      <c r="J15" s="28">
        <v>0</v>
      </c>
      <c r="K15" s="1">
        <v>0</v>
      </c>
      <c r="L15" s="1">
        <v>0</v>
      </c>
      <c r="M15" s="11">
        <v>0</v>
      </c>
      <c r="N15" s="28">
        <v>0</v>
      </c>
      <c r="O15" s="1">
        <v>0</v>
      </c>
      <c r="P15" s="1">
        <v>0</v>
      </c>
      <c r="Q15" s="11">
        <v>0</v>
      </c>
      <c r="R15" s="28">
        <v>0</v>
      </c>
      <c r="S15" s="1">
        <v>0</v>
      </c>
      <c r="T15" s="1">
        <v>0</v>
      </c>
      <c r="U15" s="11">
        <v>0</v>
      </c>
    </row>
    <row r="16" spans="2:21" x14ac:dyDescent="0.35">
      <c r="B16" s="3" t="s">
        <v>16</v>
      </c>
      <c r="C16" s="1"/>
      <c r="D16" s="56">
        <v>2</v>
      </c>
      <c r="E16" s="56">
        <v>2</v>
      </c>
      <c r="F16" s="28">
        <v>2</v>
      </c>
      <c r="G16" s="1">
        <v>2</v>
      </c>
      <c r="H16" s="1">
        <v>2</v>
      </c>
      <c r="I16" s="11">
        <v>2</v>
      </c>
      <c r="J16" s="28">
        <v>2</v>
      </c>
      <c r="K16" s="1">
        <v>2</v>
      </c>
      <c r="L16" s="1">
        <v>2</v>
      </c>
      <c r="M16" s="11">
        <v>2</v>
      </c>
      <c r="N16" s="28">
        <v>2</v>
      </c>
      <c r="O16" s="1">
        <v>2</v>
      </c>
      <c r="P16" s="1">
        <v>2</v>
      </c>
      <c r="Q16" s="11">
        <v>2</v>
      </c>
      <c r="R16" s="28">
        <v>2</v>
      </c>
      <c r="S16" s="1">
        <v>2</v>
      </c>
      <c r="T16" s="1">
        <v>2</v>
      </c>
      <c r="U16" s="11">
        <v>2</v>
      </c>
    </row>
    <row r="17" spans="2:21" x14ac:dyDescent="0.35">
      <c r="B17" s="3" t="s">
        <v>17</v>
      </c>
      <c r="C17" s="1"/>
      <c r="D17" s="56">
        <v>27</v>
      </c>
      <c r="E17" s="56">
        <v>27</v>
      </c>
      <c r="F17" s="28">
        <v>27</v>
      </c>
      <c r="G17" s="1">
        <v>27</v>
      </c>
      <c r="H17" s="1">
        <v>27</v>
      </c>
      <c r="I17" s="11">
        <v>27</v>
      </c>
      <c r="J17" s="28">
        <v>27</v>
      </c>
      <c r="K17" s="1">
        <v>27</v>
      </c>
      <c r="L17" s="1">
        <v>27</v>
      </c>
      <c r="M17" s="11">
        <v>27</v>
      </c>
      <c r="N17" s="28">
        <v>27</v>
      </c>
      <c r="O17" s="1">
        <v>27</v>
      </c>
      <c r="P17" s="1">
        <v>27</v>
      </c>
      <c r="Q17" s="11">
        <v>27</v>
      </c>
      <c r="R17" s="28">
        <v>27</v>
      </c>
      <c r="S17" s="1">
        <v>27</v>
      </c>
      <c r="T17" s="1">
        <v>27</v>
      </c>
      <c r="U17" s="11">
        <v>27</v>
      </c>
    </row>
    <row r="18" spans="2:21" x14ac:dyDescent="0.35">
      <c r="B18" s="3" t="s">
        <v>18</v>
      </c>
      <c r="C18" s="1"/>
      <c r="D18" s="56">
        <v>4</v>
      </c>
      <c r="E18" s="56">
        <v>4</v>
      </c>
      <c r="F18" s="28">
        <v>2</v>
      </c>
      <c r="G18" s="1">
        <v>2</v>
      </c>
      <c r="H18" s="1">
        <v>2</v>
      </c>
      <c r="I18" s="11">
        <v>2</v>
      </c>
      <c r="J18" s="1">
        <v>2</v>
      </c>
      <c r="K18" s="1">
        <v>2</v>
      </c>
      <c r="L18" s="1">
        <v>2</v>
      </c>
      <c r="M18" s="11">
        <v>2</v>
      </c>
      <c r="N18" s="1">
        <v>2</v>
      </c>
      <c r="O18" s="1">
        <v>2</v>
      </c>
      <c r="P18" s="1">
        <v>2</v>
      </c>
      <c r="Q18" s="11">
        <v>2</v>
      </c>
      <c r="R18" s="1">
        <v>2</v>
      </c>
      <c r="S18" s="1">
        <v>2</v>
      </c>
      <c r="T18" s="1">
        <v>2</v>
      </c>
      <c r="U18" s="11">
        <v>2</v>
      </c>
    </row>
    <row r="19" spans="2:21" x14ac:dyDescent="0.35">
      <c r="B19" s="3" t="s">
        <v>19</v>
      </c>
      <c r="C19" s="1"/>
      <c r="D19" s="56">
        <v>2</v>
      </c>
      <c r="E19" s="56">
        <v>2</v>
      </c>
      <c r="F19" s="28">
        <v>4</v>
      </c>
      <c r="G19" s="1">
        <v>4</v>
      </c>
      <c r="H19" s="1">
        <v>4</v>
      </c>
      <c r="I19" s="11">
        <v>4</v>
      </c>
      <c r="J19" s="1">
        <v>4</v>
      </c>
      <c r="K19" s="1">
        <v>4</v>
      </c>
      <c r="L19" s="1">
        <v>4</v>
      </c>
      <c r="M19" s="11">
        <v>4</v>
      </c>
      <c r="N19" s="1">
        <v>4</v>
      </c>
      <c r="O19" s="1">
        <v>4</v>
      </c>
      <c r="P19" s="1">
        <v>4</v>
      </c>
      <c r="Q19" s="11">
        <v>4</v>
      </c>
      <c r="R19" s="1">
        <v>4</v>
      </c>
      <c r="S19" s="1">
        <v>4</v>
      </c>
      <c r="T19" s="1">
        <v>4</v>
      </c>
      <c r="U19" s="11">
        <v>4</v>
      </c>
    </row>
    <row r="20" spans="2:21" x14ac:dyDescent="0.35">
      <c r="B20" s="3" t="s">
        <v>20</v>
      </c>
      <c r="C20" s="1"/>
      <c r="D20" s="56" t="s">
        <v>44</v>
      </c>
      <c r="E20" s="56" t="s">
        <v>44</v>
      </c>
      <c r="F20" s="28" t="s">
        <v>44</v>
      </c>
      <c r="G20" s="1" t="s">
        <v>44</v>
      </c>
      <c r="H20" s="1" t="s">
        <v>44</v>
      </c>
      <c r="I20" s="11" t="s">
        <v>44</v>
      </c>
      <c r="J20" s="28" t="s">
        <v>44</v>
      </c>
      <c r="K20" s="1" t="s">
        <v>44</v>
      </c>
      <c r="L20" s="1" t="s">
        <v>44</v>
      </c>
      <c r="M20" s="11" t="s">
        <v>44</v>
      </c>
      <c r="N20" s="28" t="s">
        <v>44</v>
      </c>
      <c r="O20" s="1" t="s">
        <v>44</v>
      </c>
      <c r="P20" s="1" t="s">
        <v>44</v>
      </c>
      <c r="Q20" s="11" t="s">
        <v>44</v>
      </c>
      <c r="R20" s="28" t="s">
        <v>44</v>
      </c>
      <c r="S20" s="1" t="s">
        <v>44</v>
      </c>
      <c r="T20" s="1" t="s">
        <v>44</v>
      </c>
      <c r="U20" s="11" t="s">
        <v>44</v>
      </c>
    </row>
    <row r="21" spans="2:21" x14ac:dyDescent="0.35">
      <c r="B21" s="6" t="s">
        <v>22</v>
      </c>
      <c r="C21" s="1"/>
      <c r="D21" s="58"/>
      <c r="E21" s="58"/>
      <c r="F21" s="29"/>
      <c r="G21" s="17"/>
      <c r="H21" s="17"/>
      <c r="I21" s="16"/>
      <c r="J21" s="29"/>
      <c r="K21" s="17"/>
      <c r="L21" s="17"/>
      <c r="M21" s="16"/>
      <c r="N21" s="29"/>
      <c r="O21" s="17"/>
      <c r="P21" s="17"/>
      <c r="Q21" s="16"/>
      <c r="R21" s="29"/>
      <c r="S21" s="17"/>
      <c r="T21" s="17"/>
      <c r="U21" s="16"/>
    </row>
    <row r="22" spans="2:21" x14ac:dyDescent="0.35">
      <c r="B22" s="7" t="s">
        <v>23</v>
      </c>
      <c r="C22" s="1"/>
      <c r="D22" s="56" t="s">
        <v>24</v>
      </c>
      <c r="E22" s="56" t="s">
        <v>24</v>
      </c>
      <c r="F22" s="28" t="s">
        <v>24</v>
      </c>
      <c r="G22" s="1" t="s">
        <v>24</v>
      </c>
      <c r="H22" s="1" t="s">
        <v>24</v>
      </c>
      <c r="I22" s="11" t="s">
        <v>24</v>
      </c>
      <c r="J22" s="28" t="s">
        <v>24</v>
      </c>
      <c r="K22" s="1" t="s">
        <v>24</v>
      </c>
      <c r="L22" s="1" t="s">
        <v>24</v>
      </c>
      <c r="M22" s="11" t="s">
        <v>24</v>
      </c>
      <c r="N22" s="28" t="s">
        <v>24</v>
      </c>
      <c r="O22" s="1" t="s">
        <v>24</v>
      </c>
      <c r="P22" s="1" t="s">
        <v>24</v>
      </c>
      <c r="Q22" s="11" t="s">
        <v>24</v>
      </c>
      <c r="R22" s="28" t="s">
        <v>24</v>
      </c>
      <c r="S22" s="1" t="s">
        <v>24</v>
      </c>
      <c r="T22" s="1" t="s">
        <v>24</v>
      </c>
      <c r="U22" s="11" t="s">
        <v>24</v>
      </c>
    </row>
    <row r="23" spans="2:21" x14ac:dyDescent="0.35">
      <c r="B23" s="7" t="s">
        <v>25</v>
      </c>
      <c r="C23" s="1"/>
      <c r="D23" s="56">
        <v>0</v>
      </c>
      <c r="E23" s="56">
        <v>0</v>
      </c>
      <c r="F23" s="28">
        <v>0</v>
      </c>
      <c r="G23" s="1">
        <v>1</v>
      </c>
      <c r="H23" s="1">
        <v>1</v>
      </c>
      <c r="I23" s="11">
        <v>1</v>
      </c>
      <c r="J23" s="28">
        <v>0</v>
      </c>
      <c r="K23" s="1">
        <v>1</v>
      </c>
      <c r="L23" s="1">
        <v>0</v>
      </c>
      <c r="M23" s="11">
        <v>1</v>
      </c>
      <c r="N23" s="28">
        <v>0</v>
      </c>
      <c r="O23" s="1">
        <v>1</v>
      </c>
      <c r="P23" s="1">
        <v>0</v>
      </c>
      <c r="Q23" s="11">
        <v>1</v>
      </c>
      <c r="R23" s="28">
        <v>0</v>
      </c>
      <c r="S23" s="1">
        <v>1</v>
      </c>
      <c r="T23" s="1">
        <v>0</v>
      </c>
      <c r="U23" s="11">
        <v>1</v>
      </c>
    </row>
    <row r="24" spans="2:21" x14ac:dyDescent="0.35">
      <c r="B24" s="7" t="s">
        <v>26</v>
      </c>
      <c r="C24" s="1"/>
      <c r="D24" s="56" t="s">
        <v>27</v>
      </c>
      <c r="E24" s="56" t="s">
        <v>27</v>
      </c>
      <c r="F24" s="28" t="s">
        <v>27</v>
      </c>
      <c r="G24" s="1" t="s">
        <v>27</v>
      </c>
      <c r="H24" s="1" t="s">
        <v>27</v>
      </c>
      <c r="I24" s="11" t="s">
        <v>27</v>
      </c>
      <c r="J24" s="28" t="s">
        <v>27</v>
      </c>
      <c r="K24" s="1" t="s">
        <v>27</v>
      </c>
      <c r="L24" s="1" t="s">
        <v>27</v>
      </c>
      <c r="M24" s="11" t="s">
        <v>27</v>
      </c>
      <c r="N24" s="28" t="s">
        <v>27</v>
      </c>
      <c r="O24" s="1" t="s">
        <v>27</v>
      </c>
      <c r="P24" s="1" t="s">
        <v>27</v>
      </c>
      <c r="Q24" s="11" t="s">
        <v>27</v>
      </c>
      <c r="R24" s="28" t="s">
        <v>27</v>
      </c>
      <c r="S24" s="1" t="s">
        <v>27</v>
      </c>
      <c r="T24" s="1" t="s">
        <v>27</v>
      </c>
      <c r="U24" s="11" t="s">
        <v>27</v>
      </c>
    </row>
    <row r="25" spans="2:21" x14ac:dyDescent="0.35">
      <c r="B25" s="6" t="s">
        <v>28</v>
      </c>
      <c r="C25" s="1"/>
      <c r="D25" s="58"/>
      <c r="E25" s="58"/>
      <c r="F25" s="29"/>
      <c r="G25" s="17"/>
      <c r="H25" s="17"/>
      <c r="I25" s="16"/>
      <c r="J25" s="29"/>
      <c r="K25" s="17"/>
      <c r="L25" s="17"/>
      <c r="M25" s="16"/>
      <c r="N25" s="29"/>
      <c r="O25" s="17"/>
      <c r="P25" s="17"/>
      <c r="Q25" s="16"/>
      <c r="R25" s="29"/>
      <c r="S25" s="17"/>
      <c r="T25" s="17"/>
      <c r="U25" s="16"/>
    </row>
    <row r="26" spans="2:21" x14ac:dyDescent="0.35">
      <c r="B26" s="8" t="s">
        <v>29</v>
      </c>
      <c r="C26" s="1"/>
      <c r="D26" s="56" cm="1">
        <f t="array" ref="D26">Comm_MCS_ModOrd(D16,D17)</f>
        <v>8</v>
      </c>
      <c r="E26" s="56" cm="1">
        <f t="array" ref="E26">Comm_MCS_ModOrd(E16,E17)</f>
        <v>8</v>
      </c>
      <c r="F26" s="28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11" cm="1">
        <f t="array" ref="I26">Comm_MCS_ModOrd(I16,I17)</f>
        <v>8</v>
      </c>
      <c r="J26" s="28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1" cm="1">
        <f t="array" ref="M26">Comm_MCS_ModOrd(M16,M17)</f>
        <v>8</v>
      </c>
      <c r="N26" s="28" cm="1">
        <f t="array" ref="N26">Comm_MCS_ModOrd(N16,N17)</f>
        <v>8</v>
      </c>
      <c r="O26" s="1" cm="1">
        <f t="array" ref="O26">Comm_MCS_ModOrd(O16,O17)</f>
        <v>8</v>
      </c>
      <c r="P26" s="1" cm="1">
        <f t="array" ref="P26">Comm_MCS_ModOrd(P16,P17)</f>
        <v>8</v>
      </c>
      <c r="Q26" s="11" cm="1">
        <f t="array" ref="Q26">Comm_MCS_ModOrd(Q16,Q17)</f>
        <v>8</v>
      </c>
      <c r="R26" s="28" cm="1">
        <f t="array" ref="R26">Comm_MCS_ModOrd(R16,R17)</f>
        <v>8</v>
      </c>
      <c r="S26" s="1" cm="1">
        <f t="array" ref="S26">Comm_MCS_ModOrd(S16,S17)</f>
        <v>8</v>
      </c>
      <c r="T26" s="1" cm="1">
        <f t="array" ref="T26">Comm_MCS_ModOrd(T16,T17)</f>
        <v>8</v>
      </c>
      <c r="U26" s="11" cm="1">
        <f t="array" ref="U26">Comm_MCS_ModOrd(U16,U17)</f>
        <v>8</v>
      </c>
    </row>
    <row r="27" spans="2:21" x14ac:dyDescent="0.35">
      <c r="B27" s="8" t="s">
        <v>30</v>
      </c>
      <c r="C27" s="1"/>
      <c r="D27" s="56" cm="1">
        <f t="array" ref="D27">Comm_MCS_CodeRate(D16,D17)</f>
        <v>948</v>
      </c>
      <c r="E27" s="56" cm="1">
        <f t="array" ref="E27">Comm_MCS_CodeRate(E16,E17)</f>
        <v>948</v>
      </c>
      <c r="F27" s="28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11" cm="1">
        <f t="array" ref="I27">Comm_MCS_CodeRate(I16,I17)</f>
        <v>948</v>
      </c>
      <c r="J27" s="28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1" cm="1">
        <f t="array" ref="M27">Comm_MCS_CodeRate(M16,M17)</f>
        <v>948</v>
      </c>
      <c r="N27" s="28" cm="1">
        <f t="array" ref="N27">Comm_MCS_CodeRate(N16,N17)</f>
        <v>948</v>
      </c>
      <c r="O27" s="1" cm="1">
        <f t="array" ref="O27">Comm_MCS_CodeRate(O16,O17)</f>
        <v>948</v>
      </c>
      <c r="P27" s="1" cm="1">
        <f t="array" ref="P27">Comm_MCS_CodeRate(P16,P17)</f>
        <v>948</v>
      </c>
      <c r="Q27" s="11" cm="1">
        <f t="array" ref="Q27">Comm_MCS_CodeRate(Q16,Q17)</f>
        <v>948</v>
      </c>
      <c r="R27" s="28" cm="1">
        <f t="array" ref="R27">Comm_MCS_CodeRate(R16,R17)</f>
        <v>948</v>
      </c>
      <c r="S27" s="1" cm="1">
        <f t="array" ref="S27">Comm_MCS_CodeRate(S16,S17)</f>
        <v>948</v>
      </c>
      <c r="T27" s="1" cm="1">
        <f t="array" ref="T27">Comm_MCS_CodeRate(T16,T17)</f>
        <v>948</v>
      </c>
      <c r="U27" s="11" cm="1">
        <f t="array" ref="U27">Comm_MCS_CodeRate(U16,U17)</f>
        <v>948</v>
      </c>
    </row>
    <row r="28" spans="2:21" x14ac:dyDescent="0.35">
      <c r="B28" s="9" t="s">
        <v>31</v>
      </c>
      <c r="C28" s="1"/>
      <c r="D28" s="56" cm="1">
        <f t="array" ref="D28">Comm_Z(D11,D26,D27,D12,D13,D10/D18)</f>
        <v>384</v>
      </c>
      <c r="E28" s="56" cm="1">
        <f t="array" ref="E28">Comm_Z(E11,E26,E27,E12,E13,E10/E18)</f>
        <v>384</v>
      </c>
      <c r="F28" s="28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11" cm="1">
        <f t="array" ref="I28">Comm_Z(I11,I26,I27,I12,I13,I10/I18)</f>
        <v>384</v>
      </c>
      <c r="J28" s="28" cm="1">
        <f t="array" ref="J28">Comm_Z(J11,J26,J27,J12,J13,J10/J18)</f>
        <v>384</v>
      </c>
      <c r="K28" s="1" cm="1">
        <f t="array" ref="K28">Comm_Z(K11,K26,K27,K12,K13,K10/K18)</f>
        <v>384</v>
      </c>
      <c r="L28" s="1" cm="1">
        <f t="array" ref="L28">Comm_Z(L11,L26,L27,L12,L13,L10/L18)</f>
        <v>384</v>
      </c>
      <c r="M28" s="11" cm="1">
        <f t="array" ref="M28">Comm_Z(M11,M26,M27,M12,M13,M10/M18)</f>
        <v>384</v>
      </c>
      <c r="N28" s="28" cm="1">
        <f t="array" ref="N28">Comm_Z(N11,N26,N27,N12,N13,N10/N18)</f>
        <v>352</v>
      </c>
      <c r="O28" s="1" cm="1">
        <f t="array" ref="O28">Comm_Z(O11,O26,O27,O12,O13,O10/O18)</f>
        <v>352</v>
      </c>
      <c r="P28" s="1" cm="1">
        <f t="array" ref="P28">Comm_Z(P11,P26,P27,P12,P13,P10/P18)</f>
        <v>352</v>
      </c>
      <c r="Q28" s="11" cm="1">
        <f t="array" ref="Q28">Comm_Z(Q11,Q26,Q27,Q12,Q13,Q10/Q18)</f>
        <v>352</v>
      </c>
      <c r="R28" s="28" cm="1">
        <f t="array" ref="R28">Comm_Z(R11,R26,R27,R12,R13,R10/R18)</f>
        <v>352</v>
      </c>
      <c r="S28" s="1" cm="1">
        <f t="array" ref="S28">Comm_Z(S11,S26,S27,S12,S13,S10/S18)</f>
        <v>352</v>
      </c>
      <c r="T28" s="1" cm="1">
        <f t="array" ref="T28">Comm_Z(T11,T26,T27,T12,T13,T10/T18)</f>
        <v>352</v>
      </c>
      <c r="U28" s="11" cm="1">
        <f t="array" ref="U28">Comm_Z(U11,U26,U27,U12,U13,U10/U18)</f>
        <v>352</v>
      </c>
    </row>
    <row r="29" spans="2:21" x14ac:dyDescent="0.35">
      <c r="B29" s="9" t="s">
        <v>32</v>
      </c>
      <c r="C29" s="1"/>
      <c r="D29" s="56" cm="1">
        <f t="array" ref="D29">Comm_TBS(D11,D26,D27,D12,D13,D10/D18)</f>
        <v>483464</v>
      </c>
      <c r="E29" s="56" cm="1">
        <f t="array" ref="E29">Comm_TBS(E11,E26,E27,E12,E13,E10/E18)</f>
        <v>241720</v>
      </c>
      <c r="F29" s="28" cm="1">
        <f t="array" ref="F29">Comm_TBS(F11,F26,F27,F12,F13,F10/F18)</f>
        <v>241720</v>
      </c>
      <c r="G29" s="1" cm="1">
        <f t="array" ref="G29">Comm_TBS(G11,G26,G27,G12,G13,G10/G18)</f>
        <v>241720</v>
      </c>
      <c r="H29" s="1" cm="1">
        <f t="array" ref="H29">Comm_TBS(H11,H26,H27,H12,H13,H10/H18)</f>
        <v>241720</v>
      </c>
      <c r="I29" s="11" cm="1">
        <f t="array" ref="I29">Comm_TBS(I11,I26,I27,I12,I13,I10/I18)</f>
        <v>241720</v>
      </c>
      <c r="J29" s="28" cm="1">
        <f t="array" ref="J29">Comm_TBS(J11,J26,J27,J12,J13,J10/J18)</f>
        <v>120936</v>
      </c>
      <c r="K29" s="1" cm="1">
        <f t="array" ref="K29">Comm_TBS(K11,K26,K27,K12,K13,K10/K18)</f>
        <v>120936</v>
      </c>
      <c r="L29" s="1" cm="1">
        <f t="array" ref="L29">Comm_TBS(L11,L26,L27,L12,L13,L10/L18)</f>
        <v>120936</v>
      </c>
      <c r="M29" s="11" cm="1">
        <f t="array" ref="M29">Comm_TBS(M11,M26,M27,M12,M13,M10/M18)</f>
        <v>120936</v>
      </c>
      <c r="N29" s="28" cm="1">
        <f t="array" ref="N29">Comm_TBS(N11,N26,N27,N12,N13,N10/N18)</f>
        <v>43032</v>
      </c>
      <c r="O29" s="1" cm="1">
        <f t="array" ref="O29">Comm_TBS(O11,O26,O27,O12,O13,O10/O18)</f>
        <v>43032</v>
      </c>
      <c r="P29" s="1" cm="1">
        <f t="array" ref="P29">Comm_TBS(P11,P26,P27,P12,P13,P10/P18)</f>
        <v>43032</v>
      </c>
      <c r="Q29" s="11" cm="1">
        <f t="array" ref="Q29">Comm_TBS(Q11,Q26,Q27,Q12,Q13,Q10/Q18)</f>
        <v>43032</v>
      </c>
      <c r="R29" s="28" cm="1">
        <f t="array" ref="R29">Comm_TBS(R11,R26,R27,R12,R13,R10/R18)</f>
        <v>21504</v>
      </c>
      <c r="S29" s="1" cm="1">
        <f t="array" ref="S29">Comm_TBS(S11,S26,S27,S12,S13,S10/S18)</f>
        <v>21504</v>
      </c>
      <c r="T29" s="1" cm="1">
        <f t="array" ref="T29">Comm_TBS(T11,T26,T27,T12,T13,T10/T18)</f>
        <v>21504</v>
      </c>
      <c r="U29" s="11" cm="1">
        <f t="array" ref="U29">Comm_TBS(U11,U26,U27,U12,U13,U10/U18)</f>
        <v>21504</v>
      </c>
    </row>
    <row r="30" spans="2:21" x14ac:dyDescent="0.35">
      <c r="B30" s="9" t="s">
        <v>33</v>
      </c>
      <c r="C30" s="1"/>
      <c r="D30" s="56" cm="1">
        <f t="array" ref="D30">Comm_CB(D11,D26,D27,D12,D13,D10/D18)</f>
        <v>58</v>
      </c>
      <c r="E30" s="56" cm="1">
        <f t="array" ref="E30">Comm_CB(E11,E26,E27,E12,E13,E10/E18)</f>
        <v>29</v>
      </c>
      <c r="F30" s="28" cm="1">
        <f t="array" ref="F30">Comm_CB(F11,F26,F27,F12,F13,F10/F18)</f>
        <v>29</v>
      </c>
      <c r="G30" s="1" cm="1">
        <f t="array" ref="G30">Comm_CB(G11,G26,G27,G12,G13,G10/G18)</f>
        <v>29</v>
      </c>
      <c r="H30" s="1" cm="1">
        <f t="array" ref="H30">Comm_CB(H11,H26,H27,H12,H13,H10/H18)</f>
        <v>29</v>
      </c>
      <c r="I30" s="11" cm="1">
        <f t="array" ref="I30">Comm_CB(I11,I26,I27,I12,I13,I10/I18)</f>
        <v>29</v>
      </c>
      <c r="J30" s="28" cm="1">
        <f t="array" ref="J30">Comm_CB(J11,J26,J27,J12,J13,J10/J18)</f>
        <v>15</v>
      </c>
      <c r="K30" s="1" cm="1">
        <f t="array" ref="K30">Comm_CB(K11,K26,K27,K12,K13,K10/K18)</f>
        <v>15</v>
      </c>
      <c r="L30" s="1" cm="1">
        <f t="array" ref="L30">Comm_CB(L11,L26,L27,L12,L13,L10/L18)</f>
        <v>15</v>
      </c>
      <c r="M30" s="11" cm="1">
        <f t="array" ref="M30">Comm_CB(M11,M26,M27,M12,M13,M10/M18)</f>
        <v>15</v>
      </c>
      <c r="N30" s="28" cm="1">
        <f t="array" ref="N30">Comm_CB(N11,N26,N27,N12,N13,N10/N18)</f>
        <v>6</v>
      </c>
      <c r="O30" s="1" cm="1">
        <f t="array" ref="O30">Comm_CB(O11,O26,O27,O12,O13,O10/O18)</f>
        <v>6</v>
      </c>
      <c r="P30" s="1" cm="1">
        <f t="array" ref="P30">Comm_CB(P11,P26,P27,P12,P13,P10/P18)</f>
        <v>6</v>
      </c>
      <c r="Q30" s="11" cm="1">
        <f t="array" ref="Q30">Comm_CB(Q11,Q26,Q27,Q12,Q13,Q10/Q18)</f>
        <v>6</v>
      </c>
      <c r="R30" s="28" cm="1">
        <f t="array" ref="R30">Comm_CB(R11,R26,R27,R12,R13,R10/R18)</f>
        <v>3</v>
      </c>
      <c r="S30" s="1" cm="1">
        <f t="array" ref="S30">Comm_CB(S11,S26,S27,S12,S13,S10/S18)</f>
        <v>3</v>
      </c>
      <c r="T30" s="1" cm="1">
        <f t="array" ref="T30">Comm_CB(T11,T26,T27,T12,T13,T10/T18)</f>
        <v>3</v>
      </c>
      <c r="U30" s="11" cm="1">
        <f t="array" ref="U30">Comm_CB(U11,U26,U27,U12,U13,U10/U18)</f>
        <v>3</v>
      </c>
    </row>
    <row r="31" spans="2:21" x14ac:dyDescent="0.35">
      <c r="B31" s="9" t="s">
        <v>34</v>
      </c>
      <c r="D31" s="59" cm="1">
        <f t="array" ref="D31">Comm_Parity_Nodes(D11,D26,D27,D12,D13,D10/D18)</f>
        <v>4</v>
      </c>
      <c r="E31" s="59" cm="1">
        <f t="array" ref="E31">Comm_Parity_Nodes(E11,E26,E27,E12,E13,E10/E18)</f>
        <v>4</v>
      </c>
      <c r="F31" s="30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12" cm="1">
        <f t="array" ref="I31">Comm_Parity_Nodes(I11,I26,I27,I12,I13,I10/I18)</f>
        <v>4</v>
      </c>
      <c r="J31" s="30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12" cm="1">
        <f t="array" ref="M31">Comm_Parity_Nodes(M11,M26,M27,M12,M13,M10/M18)</f>
        <v>4</v>
      </c>
      <c r="N31" s="30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1" cm="1">
        <f t="array" ref="P31">Comm_Parity_Nodes(P11,P26,P27,P12,P13,P10/P18)</f>
        <v>4</v>
      </c>
      <c r="Q31" s="12" cm="1">
        <f t="array" ref="Q31">Comm_Parity_Nodes(Q11,Q26,Q27,Q12,Q13,Q10/Q18)</f>
        <v>4</v>
      </c>
      <c r="R31" s="30" cm="1">
        <f t="array" ref="R31">Comm_Parity_Nodes(R11,R26,R27,R12,R13,R10/R18)</f>
        <v>4</v>
      </c>
      <c r="S31" s="31" cm="1">
        <f t="array" ref="S31">Comm_Parity_Nodes(S11,S26,S27,S12,S13,S10/S18)</f>
        <v>4</v>
      </c>
      <c r="T31" s="31" cm="1">
        <f t="array" ref="T31">Comm_Parity_Nodes(T11,T26,T27,T12,T13,T10/T18)</f>
        <v>4</v>
      </c>
      <c r="U31" s="12" cm="1">
        <f t="array" ref="U31">Comm_Parity_Nodes(U11,U26,U27,U12,U13,U10/U18)</f>
        <v>4</v>
      </c>
    </row>
    <row r="32" spans="2:21" x14ac:dyDescent="0.35">
      <c r="B32" s="6" t="s">
        <v>35</v>
      </c>
      <c r="D32" s="58"/>
      <c r="E32" s="58"/>
      <c r="F32" s="29"/>
      <c r="G32" s="17"/>
      <c r="H32" s="17"/>
      <c r="I32" s="16"/>
      <c r="J32" s="29"/>
      <c r="K32" s="17"/>
      <c r="L32" s="17"/>
      <c r="M32" s="16"/>
      <c r="N32" s="29"/>
      <c r="O32" s="17"/>
      <c r="P32" s="17"/>
      <c r="Q32" s="16"/>
      <c r="R32" s="29"/>
      <c r="S32" s="17"/>
      <c r="T32" s="17"/>
      <c r="U32" s="16"/>
    </row>
    <row r="33" spans="2:21" x14ac:dyDescent="0.35">
      <c r="B33" s="9" t="s">
        <v>36</v>
      </c>
      <c r="D33" s="55"/>
      <c r="E33" s="55"/>
      <c r="F33" s="26"/>
      <c r="I33" s="19"/>
      <c r="J33" s="26"/>
      <c r="M33" s="19"/>
      <c r="N33" s="26"/>
      <c r="Q33" s="19"/>
      <c r="R33" s="26"/>
      <c r="U33" s="19"/>
    </row>
    <row r="34" spans="2:21" ht="15" thickBot="1" x14ac:dyDescent="0.4">
      <c r="B34" s="9" t="s">
        <v>87</v>
      </c>
      <c r="D34" s="60">
        <f>SUMPRODUCT(D18:D18, D29:D29) *4  / 5 / 0.5/1000/1000</f>
        <v>3.0941696000000003</v>
      </c>
      <c r="E34" s="60">
        <f>SUMPRODUCT(E18:E18, E29:E29) * 4 / 5 / 0.5/1000/1000</f>
        <v>1.5470079999999999</v>
      </c>
      <c r="F34" s="38">
        <f>SUMPRODUCT(F18:I18, F29:I29) * 4 / 5 / 0.5/1000/1000</f>
        <v>3.0940159999999999</v>
      </c>
      <c r="G34" s="32"/>
      <c r="H34" s="32"/>
      <c r="I34" s="33"/>
      <c r="J34" s="38">
        <f>SUMPRODUCT(J18:M18, J29:M29) * 4 / 5 / 0.5/1000/1000</f>
        <v>1.5479807999999999</v>
      </c>
      <c r="K34" s="32"/>
      <c r="L34" s="32"/>
      <c r="M34" s="33"/>
      <c r="N34" s="38">
        <f>SUMPRODUCT(N18:Q18, N29:Q29) * 4  / 5 / 0.5/1000/1000</f>
        <v>0.5508095999999999</v>
      </c>
      <c r="O34" s="32"/>
      <c r="P34" s="32"/>
      <c r="Q34" s="33"/>
      <c r="R34" s="38">
        <f>SUMPRODUCT(R18:U18, R29:U29) * 4  / 5 / 0.5/1000/1000</f>
        <v>0.27525120000000003</v>
      </c>
      <c r="S34" s="32"/>
      <c r="T34" s="32"/>
      <c r="U34" s="33"/>
    </row>
  </sheetData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E6744-2296-40AC-823E-6420A980332F}">
  <dimension ref="B1:E34"/>
  <sheetViews>
    <sheetView topLeftCell="A3" workbookViewId="0">
      <selection activeCell="H9" sqref="H9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5" ht="15" thickBot="1" x14ac:dyDescent="0.4"/>
    <row r="2" spans="2:5" x14ac:dyDescent="0.35">
      <c r="B2" s="2" t="s">
        <v>0</v>
      </c>
      <c r="C2" s="1"/>
      <c r="D2" s="54" t="s">
        <v>85</v>
      </c>
      <c r="E2" s="54" t="s">
        <v>89</v>
      </c>
    </row>
    <row r="3" spans="2:5" x14ac:dyDescent="0.35">
      <c r="B3" s="3" t="s">
        <v>3</v>
      </c>
      <c r="C3" s="1"/>
      <c r="D3" s="55">
        <v>100</v>
      </c>
      <c r="E3" s="55">
        <v>100</v>
      </c>
    </row>
    <row r="4" spans="2:5" x14ac:dyDescent="0.35">
      <c r="B4" s="3" t="s">
        <v>4</v>
      </c>
      <c r="C4" s="1"/>
      <c r="D4" s="55">
        <v>273</v>
      </c>
      <c r="E4" s="55">
        <v>273</v>
      </c>
    </row>
    <row r="5" spans="2:5" x14ac:dyDescent="0.35">
      <c r="B5" s="3" t="s">
        <v>5</v>
      </c>
      <c r="D5" s="55">
        <v>273</v>
      </c>
      <c r="E5" s="55">
        <v>273</v>
      </c>
    </row>
    <row r="6" spans="2:5" x14ac:dyDescent="0.35">
      <c r="B6" s="3" t="s">
        <v>6</v>
      </c>
      <c r="C6" s="1"/>
      <c r="D6" s="56">
        <v>1</v>
      </c>
      <c r="E6" s="56">
        <v>1</v>
      </c>
    </row>
    <row r="7" spans="2:5" x14ac:dyDescent="0.35">
      <c r="B7" s="3" t="s">
        <v>7</v>
      </c>
      <c r="C7" s="1"/>
      <c r="D7" s="57">
        <f>D11/D5</f>
        <v>1</v>
      </c>
      <c r="E7" s="57">
        <f>E11/E5</f>
        <v>0.49816849816849818</v>
      </c>
    </row>
    <row r="8" spans="2:5" x14ac:dyDescent="0.35">
      <c r="B8" s="4" t="s">
        <v>8</v>
      </c>
      <c r="C8" s="1"/>
      <c r="D8" s="55">
        <v>1</v>
      </c>
      <c r="E8" s="55">
        <v>1</v>
      </c>
    </row>
    <row r="9" spans="2:5" x14ac:dyDescent="0.35">
      <c r="B9" s="4" t="s">
        <v>9</v>
      </c>
      <c r="C9" s="1"/>
      <c r="D9" s="55">
        <v>4</v>
      </c>
      <c r="E9" s="55">
        <v>4</v>
      </c>
    </row>
    <row r="10" spans="2:5" x14ac:dyDescent="0.35">
      <c r="B10" s="4" t="s">
        <v>10</v>
      </c>
      <c r="C10" s="1"/>
      <c r="D10" s="55">
        <v>4</v>
      </c>
      <c r="E10" s="55">
        <v>4</v>
      </c>
    </row>
    <row r="11" spans="2:5" x14ac:dyDescent="0.35">
      <c r="B11" s="3" t="s">
        <v>11</v>
      </c>
      <c r="C11" s="1"/>
      <c r="D11" s="56">
        <v>273</v>
      </c>
      <c r="E11" s="56">
        <v>136</v>
      </c>
    </row>
    <row r="12" spans="2:5" x14ac:dyDescent="0.35">
      <c r="B12" s="3" t="s">
        <v>39</v>
      </c>
      <c r="C12" s="1"/>
      <c r="D12" s="56">
        <v>14</v>
      </c>
      <c r="E12" s="56">
        <v>14</v>
      </c>
    </row>
    <row r="13" spans="2:5" x14ac:dyDescent="0.35">
      <c r="B13" s="3" t="s">
        <v>40</v>
      </c>
      <c r="C13" s="1"/>
      <c r="D13" s="56">
        <v>2</v>
      </c>
      <c r="E13" s="56">
        <v>2</v>
      </c>
    </row>
    <row r="14" spans="2:5" x14ac:dyDescent="0.35">
      <c r="B14" s="5" t="s">
        <v>14</v>
      </c>
      <c r="C14" s="1"/>
      <c r="D14" s="56">
        <v>2</v>
      </c>
      <c r="E14" s="56">
        <v>2</v>
      </c>
    </row>
    <row r="15" spans="2:5" x14ac:dyDescent="0.35">
      <c r="B15" s="5" t="s">
        <v>15</v>
      </c>
      <c r="C15" s="1"/>
      <c r="D15" s="56">
        <v>0</v>
      </c>
      <c r="E15" s="56">
        <v>0</v>
      </c>
    </row>
    <row r="16" spans="2:5" x14ac:dyDescent="0.35">
      <c r="B16" s="3" t="s">
        <v>16</v>
      </c>
      <c r="C16" s="1"/>
      <c r="D16" s="56">
        <v>2</v>
      </c>
      <c r="E16" s="56">
        <v>2</v>
      </c>
    </row>
    <row r="17" spans="2:5" x14ac:dyDescent="0.35">
      <c r="B17" s="3" t="s">
        <v>17</v>
      </c>
      <c r="C17" s="1"/>
      <c r="D17" s="56">
        <v>27</v>
      </c>
      <c r="E17" s="56">
        <v>27</v>
      </c>
    </row>
    <row r="18" spans="2:5" x14ac:dyDescent="0.35">
      <c r="B18" s="3" t="s">
        <v>18</v>
      </c>
      <c r="C18" s="1"/>
      <c r="D18" s="56">
        <v>2</v>
      </c>
      <c r="E18" s="56">
        <v>2</v>
      </c>
    </row>
    <row r="19" spans="2:5" x14ac:dyDescent="0.35">
      <c r="B19" s="3" t="s">
        <v>19</v>
      </c>
      <c r="C19" s="1"/>
      <c r="D19" s="56">
        <v>2</v>
      </c>
      <c r="E19" s="56">
        <v>2</v>
      </c>
    </row>
    <row r="20" spans="2:5" x14ac:dyDescent="0.35">
      <c r="B20" s="3" t="s">
        <v>20</v>
      </c>
      <c r="C20" s="1"/>
      <c r="D20" s="56" t="s">
        <v>44</v>
      </c>
      <c r="E20" s="56" t="s">
        <v>44</v>
      </c>
    </row>
    <row r="21" spans="2:5" x14ac:dyDescent="0.35">
      <c r="B21" s="6" t="s">
        <v>22</v>
      </c>
      <c r="C21" s="1"/>
      <c r="D21" s="58"/>
      <c r="E21" s="58"/>
    </row>
    <row r="22" spans="2:5" x14ac:dyDescent="0.35">
      <c r="B22" s="7" t="s">
        <v>23</v>
      </c>
      <c r="C22" s="1"/>
      <c r="D22" s="56" t="s">
        <v>24</v>
      </c>
      <c r="E22" s="56" t="s">
        <v>24</v>
      </c>
    </row>
    <row r="23" spans="2:5" x14ac:dyDescent="0.35">
      <c r="B23" s="7" t="s">
        <v>25</v>
      </c>
      <c r="C23" s="1"/>
      <c r="D23" s="56">
        <v>0</v>
      </c>
      <c r="E23" s="56">
        <v>0</v>
      </c>
    </row>
    <row r="24" spans="2:5" x14ac:dyDescent="0.35">
      <c r="B24" s="7" t="s">
        <v>26</v>
      </c>
      <c r="C24" s="1"/>
      <c r="D24" s="56" t="s">
        <v>27</v>
      </c>
      <c r="E24" s="56" t="s">
        <v>27</v>
      </c>
    </row>
    <row r="25" spans="2:5" x14ac:dyDescent="0.35">
      <c r="B25" s="6" t="s">
        <v>28</v>
      </c>
      <c r="C25" s="1"/>
      <c r="D25" s="58"/>
      <c r="E25" s="58"/>
    </row>
    <row r="26" spans="2:5" x14ac:dyDescent="0.35">
      <c r="B26" s="8" t="s">
        <v>29</v>
      </c>
      <c r="C26" s="1"/>
      <c r="D26" s="56" cm="1">
        <f t="array" ref="D26">Comm_MCS_ModOrd(D16,D17)</f>
        <v>8</v>
      </c>
      <c r="E26" s="56" cm="1">
        <f t="array" ref="E26">Comm_MCS_ModOrd(E16,E17)</f>
        <v>8</v>
      </c>
    </row>
    <row r="27" spans="2:5" x14ac:dyDescent="0.35">
      <c r="B27" s="8" t="s">
        <v>30</v>
      </c>
      <c r="C27" s="1"/>
      <c r="D27" s="56" cm="1">
        <f t="array" ref="D27">Comm_MCS_CodeRate(D16,D17)</f>
        <v>948</v>
      </c>
      <c r="E27" s="56" cm="1">
        <f t="array" ref="E27">Comm_MCS_CodeRate(E16,E17)</f>
        <v>948</v>
      </c>
    </row>
    <row r="28" spans="2:5" x14ac:dyDescent="0.35">
      <c r="B28" s="9" t="s">
        <v>31</v>
      </c>
      <c r="C28" s="1"/>
      <c r="D28" s="56" cm="1">
        <f t="array" ref="D28">Comm_Z(D11,D26,D27,D12,D13,D10/D18)</f>
        <v>384</v>
      </c>
      <c r="E28" s="56" cm="1">
        <f t="array" ref="E28">Comm_Z(E11,E26,E27,E12,E13,E10/E18)</f>
        <v>384</v>
      </c>
    </row>
    <row r="29" spans="2:5" x14ac:dyDescent="0.35">
      <c r="B29" s="9" t="s">
        <v>32</v>
      </c>
      <c r="C29" s="1"/>
      <c r="D29" s="56" cm="1">
        <f t="array" ref="D29">Comm_TBS(D11,D26,D27,D12,D13,D10/D18)</f>
        <v>590128</v>
      </c>
      <c r="E29" s="56" cm="1">
        <f t="array" ref="E29">Comm_TBS(E11,E26,E27,E12,E13,E10/E18)</f>
        <v>286976</v>
      </c>
    </row>
    <row r="30" spans="2:5" x14ac:dyDescent="0.35">
      <c r="B30" s="9" t="s">
        <v>33</v>
      </c>
      <c r="C30" s="1"/>
      <c r="D30" s="56" cm="1">
        <f t="array" ref="D30">Comm_CB(D11,D26,D27,D12,D13,D10/D18)</f>
        <v>71</v>
      </c>
      <c r="E30" s="56" cm="1">
        <f t="array" ref="E30">Comm_CB(E11,E26,E27,E12,E13,E10/E18)</f>
        <v>35</v>
      </c>
    </row>
    <row r="31" spans="2:5" x14ac:dyDescent="0.35">
      <c r="B31" s="9" t="s">
        <v>34</v>
      </c>
      <c r="D31" s="59" cm="1">
        <f t="array" ref="D31">Comm_Parity_Nodes(D11,D26,D27,D12,D13,D10/D18)</f>
        <v>4</v>
      </c>
      <c r="E31" s="59" cm="1">
        <f t="array" ref="E31">Comm_Parity_Nodes(E11,E26,E27,E12,E13,E10/E18)</f>
        <v>4</v>
      </c>
    </row>
    <row r="32" spans="2:5" x14ac:dyDescent="0.35">
      <c r="B32" s="6" t="s">
        <v>35</v>
      </c>
      <c r="D32" s="58"/>
      <c r="E32" s="58"/>
    </row>
    <row r="33" spans="2:5" x14ac:dyDescent="0.35">
      <c r="B33" s="9" t="s">
        <v>36</v>
      </c>
      <c r="D33" s="55"/>
      <c r="E33" s="55"/>
    </row>
    <row r="34" spans="2:5" ht="15" thickBot="1" x14ac:dyDescent="0.4">
      <c r="B34" s="40" t="s">
        <v>56</v>
      </c>
      <c r="D34" s="60">
        <f>SUMPRODUCT(D18:D18, D29:D29)  / 5 / 0.5/1000/1000</f>
        <v>0.47210240000000003</v>
      </c>
      <c r="E34" s="60">
        <f>SUMPRODUCT(E18:E18, E29:E29)  / 5 / 0.5/1000/1000</f>
        <v>0.22958079999999997</v>
      </c>
    </row>
  </sheetData>
  <phoneticPr fontId="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FCDF2-4699-4304-9EE9-7EA37FF8B8CE}">
  <dimension ref="B1:U34"/>
  <sheetViews>
    <sheetView topLeftCell="A2" zoomScale="85" zoomScaleNormal="85" workbookViewId="0">
      <selection activeCell="X25" sqref="X25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21" ht="15" thickBot="1" x14ac:dyDescent="0.4"/>
    <row r="2" spans="2:21" x14ac:dyDescent="0.35">
      <c r="B2" s="2" t="s">
        <v>0</v>
      </c>
      <c r="C2" s="1"/>
      <c r="D2" s="54" t="s">
        <v>86</v>
      </c>
      <c r="E2" s="54" t="s">
        <v>90</v>
      </c>
      <c r="F2" s="21" t="s">
        <v>144</v>
      </c>
      <c r="G2" s="61"/>
      <c r="H2" s="61"/>
      <c r="I2" s="24"/>
      <c r="J2" s="21" t="s">
        <v>145</v>
      </c>
      <c r="K2" s="61"/>
      <c r="L2" s="61"/>
      <c r="M2" s="24"/>
      <c r="N2" s="21" t="s">
        <v>138</v>
      </c>
      <c r="O2" s="61"/>
      <c r="P2" s="61"/>
      <c r="Q2" s="24"/>
      <c r="R2" s="21" t="s">
        <v>139</v>
      </c>
      <c r="S2" s="61"/>
      <c r="T2" s="61"/>
      <c r="U2" s="25"/>
    </row>
    <row r="3" spans="2:21" x14ac:dyDescent="0.35">
      <c r="B3" s="3" t="s">
        <v>3</v>
      </c>
      <c r="C3" s="1"/>
      <c r="D3" s="55">
        <v>100</v>
      </c>
      <c r="E3" s="55">
        <v>100</v>
      </c>
      <c r="F3" s="26">
        <v>100</v>
      </c>
      <c r="G3">
        <v>100</v>
      </c>
      <c r="H3">
        <v>100</v>
      </c>
      <c r="I3" s="19">
        <v>100</v>
      </c>
      <c r="J3" s="26">
        <v>100</v>
      </c>
      <c r="K3">
        <v>100</v>
      </c>
      <c r="L3">
        <v>100</v>
      </c>
      <c r="M3" s="19">
        <v>100</v>
      </c>
      <c r="N3" s="26">
        <v>20</v>
      </c>
      <c r="O3">
        <v>20</v>
      </c>
      <c r="P3">
        <v>20</v>
      </c>
      <c r="Q3" s="19">
        <v>20</v>
      </c>
      <c r="R3" s="26">
        <v>20</v>
      </c>
      <c r="S3">
        <v>20</v>
      </c>
      <c r="T3">
        <v>20</v>
      </c>
      <c r="U3" s="19">
        <v>20</v>
      </c>
    </row>
    <row r="4" spans="2:21" x14ac:dyDescent="0.35">
      <c r="B4" s="3" t="s">
        <v>4</v>
      </c>
      <c r="C4" s="1"/>
      <c r="D4" s="55">
        <v>273</v>
      </c>
      <c r="E4" s="55">
        <v>273</v>
      </c>
      <c r="F4" s="26">
        <v>273</v>
      </c>
      <c r="G4">
        <v>273</v>
      </c>
      <c r="H4">
        <v>273</v>
      </c>
      <c r="I4" s="19">
        <v>273</v>
      </c>
      <c r="J4" s="26">
        <v>273</v>
      </c>
      <c r="K4">
        <v>273</v>
      </c>
      <c r="L4">
        <v>273</v>
      </c>
      <c r="M4" s="19">
        <v>273</v>
      </c>
      <c r="N4" s="26">
        <v>51</v>
      </c>
      <c r="O4">
        <v>51</v>
      </c>
      <c r="P4">
        <v>51</v>
      </c>
      <c r="Q4" s="19">
        <v>51</v>
      </c>
      <c r="R4" s="26">
        <v>51</v>
      </c>
      <c r="S4">
        <v>51</v>
      </c>
      <c r="T4">
        <v>51</v>
      </c>
      <c r="U4" s="19">
        <v>51</v>
      </c>
    </row>
    <row r="5" spans="2:21" x14ac:dyDescent="0.35">
      <c r="B5" s="3" t="s">
        <v>5</v>
      </c>
      <c r="D5" s="55">
        <v>273</v>
      </c>
      <c r="E5" s="55">
        <v>273</v>
      </c>
      <c r="F5" s="26">
        <v>273</v>
      </c>
      <c r="G5">
        <v>273</v>
      </c>
      <c r="H5">
        <v>273</v>
      </c>
      <c r="I5" s="19">
        <v>273</v>
      </c>
      <c r="J5" s="26">
        <v>273</v>
      </c>
      <c r="K5">
        <v>273</v>
      </c>
      <c r="L5">
        <v>273</v>
      </c>
      <c r="M5" s="19">
        <v>273</v>
      </c>
      <c r="N5" s="26">
        <v>51</v>
      </c>
      <c r="O5">
        <v>51</v>
      </c>
      <c r="P5">
        <v>51</v>
      </c>
      <c r="Q5" s="19">
        <v>51</v>
      </c>
      <c r="R5" s="26">
        <v>51</v>
      </c>
      <c r="S5">
        <v>51</v>
      </c>
      <c r="T5">
        <v>51</v>
      </c>
      <c r="U5" s="19">
        <v>51</v>
      </c>
    </row>
    <row r="6" spans="2:21" x14ac:dyDescent="0.35">
      <c r="B6" s="3" t="s">
        <v>6</v>
      </c>
      <c r="C6" s="1"/>
      <c r="D6" s="56">
        <v>1</v>
      </c>
      <c r="E6" s="56">
        <v>1</v>
      </c>
      <c r="F6" s="28">
        <v>1</v>
      </c>
      <c r="G6" s="1">
        <v>2</v>
      </c>
      <c r="H6" s="1">
        <v>3</v>
      </c>
      <c r="I6" s="11">
        <v>4</v>
      </c>
      <c r="J6" s="28">
        <v>1</v>
      </c>
      <c r="K6" s="1">
        <v>2</v>
      </c>
      <c r="L6" s="1">
        <v>3</v>
      </c>
      <c r="M6" s="11">
        <v>4</v>
      </c>
      <c r="N6" s="28">
        <v>1</v>
      </c>
      <c r="O6" s="1">
        <v>2</v>
      </c>
      <c r="P6" s="1">
        <v>3</v>
      </c>
      <c r="Q6" s="11">
        <v>4</v>
      </c>
      <c r="R6" s="28">
        <v>1</v>
      </c>
      <c r="S6" s="1">
        <v>2</v>
      </c>
      <c r="T6" s="1">
        <v>3</v>
      </c>
      <c r="U6" s="11">
        <v>4</v>
      </c>
    </row>
    <row r="7" spans="2:21" x14ac:dyDescent="0.35">
      <c r="B7" s="3" t="s">
        <v>7</v>
      </c>
      <c r="C7" s="1"/>
      <c r="D7" s="57">
        <f t="shared" ref="D7:S7" si="0">D11/D5</f>
        <v>1</v>
      </c>
      <c r="E7" s="57">
        <f t="shared" si="0"/>
        <v>0.49816849816849818</v>
      </c>
      <c r="F7" s="27">
        <f t="shared" ref="F7:K7" si="1">F11/F5</f>
        <v>0.24908424908424909</v>
      </c>
      <c r="G7" s="14">
        <f>G11/G5</f>
        <v>0.24908424908424909</v>
      </c>
      <c r="H7" s="14">
        <f t="shared" ref="H7" si="2">H11/H5</f>
        <v>0.24908424908424909</v>
      </c>
      <c r="I7" s="15">
        <f>I11/I5</f>
        <v>0.24908424908424909</v>
      </c>
      <c r="J7" s="27">
        <f t="shared" si="1"/>
        <v>0.12454212454212454</v>
      </c>
      <c r="K7" s="14">
        <f t="shared" si="1"/>
        <v>0.12454212454212454</v>
      </c>
      <c r="L7" s="14">
        <f t="shared" ref="L7:M7" si="3">L11/L5</f>
        <v>0.12454212454212454</v>
      </c>
      <c r="M7" s="15">
        <f t="shared" si="3"/>
        <v>0.12454212454212454</v>
      </c>
      <c r="N7" s="27">
        <f t="shared" si="0"/>
        <v>0.23529411764705882</v>
      </c>
      <c r="O7" s="14">
        <f t="shared" si="0"/>
        <v>0.23529411764705882</v>
      </c>
      <c r="P7" s="14">
        <f t="shared" ref="P7:Q7" si="4">P11/P5</f>
        <v>0.23529411764705882</v>
      </c>
      <c r="Q7" s="15">
        <f t="shared" si="4"/>
        <v>0.23529411764705882</v>
      </c>
      <c r="R7" s="27">
        <f t="shared" si="0"/>
        <v>0.11764705882352941</v>
      </c>
      <c r="S7" s="14">
        <f t="shared" si="0"/>
        <v>0.11764705882352941</v>
      </c>
      <c r="T7" s="14">
        <f t="shared" ref="T7:U7" si="5">T11/T5</f>
        <v>0.11764705882352941</v>
      </c>
      <c r="U7" s="15">
        <f t="shared" si="5"/>
        <v>0.11764705882352941</v>
      </c>
    </row>
    <row r="8" spans="2:21" x14ac:dyDescent="0.35">
      <c r="B8" s="4" t="s">
        <v>8</v>
      </c>
      <c r="C8" s="1"/>
      <c r="D8" s="55">
        <v>1</v>
      </c>
      <c r="E8" s="55">
        <v>1</v>
      </c>
      <c r="F8" s="26">
        <v>1</v>
      </c>
      <c r="G8">
        <v>1</v>
      </c>
      <c r="H8">
        <v>1</v>
      </c>
      <c r="I8" s="19">
        <v>1</v>
      </c>
      <c r="J8" s="26">
        <v>1</v>
      </c>
      <c r="K8">
        <v>1</v>
      </c>
      <c r="L8">
        <v>1</v>
      </c>
      <c r="M8" s="19">
        <v>1</v>
      </c>
      <c r="N8" s="26">
        <v>1</v>
      </c>
      <c r="O8">
        <v>1</v>
      </c>
      <c r="P8">
        <v>1</v>
      </c>
      <c r="Q8" s="19">
        <v>1</v>
      </c>
      <c r="R8" s="26">
        <v>1</v>
      </c>
      <c r="S8">
        <v>1</v>
      </c>
      <c r="T8">
        <v>1</v>
      </c>
      <c r="U8" s="19">
        <v>1</v>
      </c>
    </row>
    <row r="9" spans="2:21" x14ac:dyDescent="0.35">
      <c r="B9" s="4" t="s">
        <v>9</v>
      </c>
      <c r="C9" s="1"/>
      <c r="D9" s="55">
        <v>4</v>
      </c>
      <c r="E9" s="55">
        <v>4</v>
      </c>
      <c r="F9" s="26">
        <v>4</v>
      </c>
      <c r="G9">
        <v>4</v>
      </c>
      <c r="H9">
        <v>4</v>
      </c>
      <c r="I9" s="19">
        <v>4</v>
      </c>
      <c r="J9" s="26">
        <v>4</v>
      </c>
      <c r="K9">
        <v>4</v>
      </c>
      <c r="L9">
        <v>4</v>
      </c>
      <c r="M9" s="19">
        <v>4</v>
      </c>
      <c r="N9" s="26">
        <v>4</v>
      </c>
      <c r="O9">
        <v>4</v>
      </c>
      <c r="P9">
        <v>4</v>
      </c>
      <c r="Q9" s="19">
        <v>4</v>
      </c>
      <c r="R9" s="26">
        <v>4</v>
      </c>
      <c r="S9">
        <v>4</v>
      </c>
      <c r="T9">
        <v>4</v>
      </c>
      <c r="U9" s="19">
        <v>4</v>
      </c>
    </row>
    <row r="10" spans="2:21" x14ac:dyDescent="0.35">
      <c r="B10" s="4" t="s">
        <v>10</v>
      </c>
      <c r="C10" s="1"/>
      <c r="D10" s="55">
        <v>4</v>
      </c>
      <c r="E10" s="55">
        <v>4</v>
      </c>
      <c r="F10" s="26">
        <v>4</v>
      </c>
      <c r="G10">
        <v>4</v>
      </c>
      <c r="H10">
        <v>4</v>
      </c>
      <c r="I10" s="19">
        <v>4</v>
      </c>
      <c r="J10" s="26">
        <v>4</v>
      </c>
      <c r="K10">
        <v>4</v>
      </c>
      <c r="L10">
        <v>4</v>
      </c>
      <c r="M10" s="19">
        <v>4</v>
      </c>
      <c r="N10" s="26">
        <v>4</v>
      </c>
      <c r="O10">
        <v>4</v>
      </c>
      <c r="P10">
        <v>4</v>
      </c>
      <c r="Q10" s="19">
        <v>4</v>
      </c>
      <c r="R10" s="26">
        <v>4</v>
      </c>
      <c r="S10">
        <v>4</v>
      </c>
      <c r="T10">
        <v>4</v>
      </c>
      <c r="U10" s="19">
        <v>4</v>
      </c>
    </row>
    <row r="11" spans="2:21" x14ac:dyDescent="0.35">
      <c r="B11" s="3" t="s">
        <v>11</v>
      </c>
      <c r="C11" s="1"/>
      <c r="D11" s="56">
        <v>273</v>
      </c>
      <c r="E11" s="56">
        <v>136</v>
      </c>
      <c r="F11" s="28">
        <v>68</v>
      </c>
      <c r="G11" s="1">
        <v>68</v>
      </c>
      <c r="H11" s="1">
        <v>68</v>
      </c>
      <c r="I11" s="11">
        <v>68</v>
      </c>
      <c r="J11" s="28">
        <v>34</v>
      </c>
      <c r="K11" s="1">
        <v>34</v>
      </c>
      <c r="L11" s="1">
        <v>34</v>
      </c>
      <c r="M11" s="11">
        <v>34</v>
      </c>
      <c r="N11" s="28">
        <v>12</v>
      </c>
      <c r="O11" s="1">
        <v>12</v>
      </c>
      <c r="P11" s="1">
        <v>12</v>
      </c>
      <c r="Q11" s="11">
        <v>12</v>
      </c>
      <c r="R11" s="28">
        <v>6</v>
      </c>
      <c r="S11" s="1">
        <v>6</v>
      </c>
      <c r="T11" s="1">
        <v>6</v>
      </c>
      <c r="U11" s="11">
        <v>6</v>
      </c>
    </row>
    <row r="12" spans="2:21" x14ac:dyDescent="0.35">
      <c r="B12" s="3" t="s">
        <v>39</v>
      </c>
      <c r="C12" s="1"/>
      <c r="D12" s="56">
        <v>14</v>
      </c>
      <c r="E12" s="56">
        <v>14</v>
      </c>
      <c r="F12" s="28">
        <v>14</v>
      </c>
      <c r="G12" s="1">
        <v>14</v>
      </c>
      <c r="H12" s="1">
        <v>14</v>
      </c>
      <c r="I12" s="11">
        <v>14</v>
      </c>
      <c r="J12" s="28">
        <v>14</v>
      </c>
      <c r="K12" s="1">
        <v>14</v>
      </c>
      <c r="L12" s="1">
        <v>14</v>
      </c>
      <c r="M12" s="11">
        <v>14</v>
      </c>
      <c r="N12" s="28">
        <v>14</v>
      </c>
      <c r="O12" s="1">
        <v>14</v>
      </c>
      <c r="P12" s="1">
        <v>14</v>
      </c>
      <c r="Q12" s="11">
        <v>14</v>
      </c>
      <c r="R12" s="28">
        <v>14</v>
      </c>
      <c r="S12" s="1">
        <v>14</v>
      </c>
      <c r="T12" s="1">
        <v>14</v>
      </c>
      <c r="U12" s="11">
        <v>14</v>
      </c>
    </row>
    <row r="13" spans="2:21" x14ac:dyDescent="0.35">
      <c r="B13" s="3" t="s">
        <v>40</v>
      </c>
      <c r="C13" s="1"/>
      <c r="D13" s="56">
        <v>2</v>
      </c>
      <c r="E13" s="56">
        <v>2</v>
      </c>
      <c r="F13" s="28">
        <v>2</v>
      </c>
      <c r="G13" s="1">
        <v>2</v>
      </c>
      <c r="H13" s="1">
        <v>2</v>
      </c>
      <c r="I13" s="11">
        <v>2</v>
      </c>
      <c r="J13" s="28">
        <v>2</v>
      </c>
      <c r="K13" s="1">
        <v>2</v>
      </c>
      <c r="L13" s="1">
        <v>2</v>
      </c>
      <c r="M13" s="11">
        <v>2</v>
      </c>
      <c r="N13" s="28">
        <v>2</v>
      </c>
      <c r="O13" s="1">
        <v>2</v>
      </c>
      <c r="P13" s="1">
        <v>2</v>
      </c>
      <c r="Q13" s="11">
        <v>2</v>
      </c>
      <c r="R13" s="28">
        <v>2</v>
      </c>
      <c r="S13" s="1">
        <v>2</v>
      </c>
      <c r="T13" s="1">
        <v>2</v>
      </c>
      <c r="U13" s="11">
        <v>2</v>
      </c>
    </row>
    <row r="14" spans="2:21" x14ac:dyDescent="0.35">
      <c r="B14" s="5" t="s">
        <v>14</v>
      </c>
      <c r="C14" s="1"/>
      <c r="D14" s="56">
        <v>2</v>
      </c>
      <c r="E14" s="56">
        <v>2</v>
      </c>
      <c r="F14" s="28">
        <v>2</v>
      </c>
      <c r="G14" s="1">
        <v>2</v>
      </c>
      <c r="H14" s="1">
        <v>2</v>
      </c>
      <c r="I14" s="11">
        <v>2</v>
      </c>
      <c r="J14" s="28">
        <v>2</v>
      </c>
      <c r="K14" s="1">
        <v>2</v>
      </c>
      <c r="L14" s="1">
        <v>2</v>
      </c>
      <c r="M14" s="11">
        <v>2</v>
      </c>
      <c r="N14" s="28">
        <v>2</v>
      </c>
      <c r="O14" s="1">
        <v>2</v>
      </c>
      <c r="P14" s="1">
        <v>2</v>
      </c>
      <c r="Q14" s="11">
        <v>2</v>
      </c>
      <c r="R14" s="28">
        <v>2</v>
      </c>
      <c r="S14" s="1">
        <v>2</v>
      </c>
      <c r="T14" s="1">
        <v>2</v>
      </c>
      <c r="U14" s="11">
        <v>2</v>
      </c>
    </row>
    <row r="15" spans="2:21" x14ac:dyDescent="0.35">
      <c r="B15" s="5" t="s">
        <v>15</v>
      </c>
      <c r="C15" s="1"/>
      <c r="D15" s="56">
        <v>0</v>
      </c>
      <c r="E15" s="56">
        <v>0</v>
      </c>
      <c r="F15" s="28">
        <v>0</v>
      </c>
      <c r="G15" s="1">
        <v>0</v>
      </c>
      <c r="H15" s="1">
        <v>0</v>
      </c>
      <c r="I15" s="11">
        <v>0</v>
      </c>
      <c r="J15" s="28">
        <v>0</v>
      </c>
      <c r="K15" s="1">
        <v>0</v>
      </c>
      <c r="L15" s="1">
        <v>0</v>
      </c>
      <c r="M15" s="11">
        <v>0</v>
      </c>
      <c r="N15" s="28">
        <v>0</v>
      </c>
      <c r="O15" s="1">
        <v>0</v>
      </c>
      <c r="P15" s="1">
        <v>0</v>
      </c>
      <c r="Q15" s="11">
        <v>0</v>
      </c>
      <c r="R15" s="28">
        <v>0</v>
      </c>
      <c r="S15" s="1">
        <v>0</v>
      </c>
      <c r="T15" s="1">
        <v>0</v>
      </c>
      <c r="U15" s="11">
        <v>0</v>
      </c>
    </row>
    <row r="16" spans="2:21" x14ac:dyDescent="0.35">
      <c r="B16" s="3" t="s">
        <v>16</v>
      </c>
      <c r="C16" s="1"/>
      <c r="D16" s="56">
        <v>2</v>
      </c>
      <c r="E16" s="56">
        <v>2</v>
      </c>
      <c r="F16" s="28">
        <v>2</v>
      </c>
      <c r="G16" s="1">
        <v>2</v>
      </c>
      <c r="H16" s="1">
        <v>2</v>
      </c>
      <c r="I16" s="11">
        <v>2</v>
      </c>
      <c r="J16" s="28">
        <v>2</v>
      </c>
      <c r="K16" s="1">
        <v>2</v>
      </c>
      <c r="L16" s="1">
        <v>2</v>
      </c>
      <c r="M16" s="11">
        <v>2</v>
      </c>
      <c r="N16" s="28">
        <v>2</v>
      </c>
      <c r="O16" s="1">
        <v>2</v>
      </c>
      <c r="P16" s="1">
        <v>2</v>
      </c>
      <c r="Q16" s="11">
        <v>2</v>
      </c>
      <c r="R16" s="28">
        <v>2</v>
      </c>
      <c r="S16" s="1">
        <v>2</v>
      </c>
      <c r="T16" s="1">
        <v>2</v>
      </c>
      <c r="U16" s="11">
        <v>2</v>
      </c>
    </row>
    <row r="17" spans="2:21" x14ac:dyDescent="0.35">
      <c r="B17" s="3" t="s">
        <v>17</v>
      </c>
      <c r="C17" s="1"/>
      <c r="D17" s="56">
        <v>27</v>
      </c>
      <c r="E17" s="56">
        <v>27</v>
      </c>
      <c r="F17" s="28">
        <v>27</v>
      </c>
      <c r="G17" s="1">
        <v>27</v>
      </c>
      <c r="H17" s="1">
        <v>27</v>
      </c>
      <c r="I17" s="11">
        <v>27</v>
      </c>
      <c r="J17" s="28">
        <v>27</v>
      </c>
      <c r="K17" s="1">
        <v>27</v>
      </c>
      <c r="L17" s="1">
        <v>27</v>
      </c>
      <c r="M17" s="11">
        <v>27</v>
      </c>
      <c r="N17" s="28">
        <v>27</v>
      </c>
      <c r="O17" s="1">
        <v>27</v>
      </c>
      <c r="P17" s="1">
        <v>27</v>
      </c>
      <c r="Q17" s="11">
        <v>27</v>
      </c>
      <c r="R17" s="28">
        <v>27</v>
      </c>
      <c r="S17" s="1">
        <v>27</v>
      </c>
      <c r="T17" s="1">
        <v>27</v>
      </c>
      <c r="U17" s="11">
        <v>27</v>
      </c>
    </row>
    <row r="18" spans="2:21" x14ac:dyDescent="0.35">
      <c r="B18" s="3" t="s">
        <v>18</v>
      </c>
      <c r="C18" s="1"/>
      <c r="D18" s="56">
        <v>2</v>
      </c>
      <c r="E18" s="56">
        <v>2</v>
      </c>
      <c r="F18" s="28">
        <v>2</v>
      </c>
      <c r="G18" s="1">
        <v>2</v>
      </c>
      <c r="H18" s="1">
        <v>2</v>
      </c>
      <c r="I18" s="11">
        <v>2</v>
      </c>
      <c r="J18" s="28">
        <v>2</v>
      </c>
      <c r="K18" s="1">
        <v>2</v>
      </c>
      <c r="L18" s="1">
        <v>2</v>
      </c>
      <c r="M18" s="11">
        <v>2</v>
      </c>
      <c r="N18" s="28">
        <v>2</v>
      </c>
      <c r="O18" s="1">
        <v>2</v>
      </c>
      <c r="P18" s="1">
        <v>2</v>
      </c>
      <c r="Q18" s="11">
        <v>2</v>
      </c>
      <c r="R18" s="28">
        <v>2</v>
      </c>
      <c r="S18" s="1">
        <v>2</v>
      </c>
      <c r="T18" s="1">
        <v>2</v>
      </c>
      <c r="U18" s="11">
        <v>2</v>
      </c>
    </row>
    <row r="19" spans="2:21" x14ac:dyDescent="0.35">
      <c r="B19" s="3" t="s">
        <v>19</v>
      </c>
      <c r="C19" s="1"/>
      <c r="D19" s="56">
        <v>2</v>
      </c>
      <c r="E19" s="56">
        <v>2</v>
      </c>
      <c r="F19" s="28">
        <v>2</v>
      </c>
      <c r="G19" s="1">
        <v>2</v>
      </c>
      <c r="H19" s="1">
        <v>2</v>
      </c>
      <c r="I19" s="11">
        <v>2</v>
      </c>
      <c r="J19" s="28">
        <v>2</v>
      </c>
      <c r="K19" s="1">
        <v>2</v>
      </c>
      <c r="L19" s="1">
        <v>2</v>
      </c>
      <c r="M19" s="11">
        <v>2</v>
      </c>
      <c r="N19" s="28">
        <v>2</v>
      </c>
      <c r="O19" s="1">
        <v>2</v>
      </c>
      <c r="P19" s="1">
        <v>2</v>
      </c>
      <c r="Q19" s="11">
        <v>2</v>
      </c>
      <c r="R19" s="28">
        <v>2</v>
      </c>
      <c r="S19" s="1">
        <v>2</v>
      </c>
      <c r="T19" s="1">
        <v>2</v>
      </c>
      <c r="U19" s="11">
        <v>2</v>
      </c>
    </row>
    <row r="20" spans="2:21" x14ac:dyDescent="0.35">
      <c r="B20" s="3" t="s">
        <v>20</v>
      </c>
      <c r="C20" s="1"/>
      <c r="D20" s="56" t="s">
        <v>44</v>
      </c>
      <c r="E20" s="56" t="s">
        <v>44</v>
      </c>
      <c r="F20" s="28" t="s">
        <v>44</v>
      </c>
      <c r="G20" s="1" t="s">
        <v>44</v>
      </c>
      <c r="H20" s="1" t="s">
        <v>44</v>
      </c>
      <c r="I20" s="11" t="s">
        <v>44</v>
      </c>
      <c r="J20" s="28" t="s">
        <v>44</v>
      </c>
      <c r="K20" s="1" t="s">
        <v>44</v>
      </c>
      <c r="L20" s="1" t="s">
        <v>44</v>
      </c>
      <c r="M20" s="11" t="s">
        <v>44</v>
      </c>
      <c r="N20" s="28" t="s">
        <v>44</v>
      </c>
      <c r="O20" s="1" t="s">
        <v>44</v>
      </c>
      <c r="P20" s="1" t="s">
        <v>44</v>
      </c>
      <c r="Q20" s="11" t="s">
        <v>44</v>
      </c>
      <c r="R20" s="28" t="s">
        <v>44</v>
      </c>
      <c r="S20" s="1" t="s">
        <v>44</v>
      </c>
      <c r="T20" s="1" t="s">
        <v>44</v>
      </c>
      <c r="U20" s="11" t="s">
        <v>44</v>
      </c>
    </row>
    <row r="21" spans="2:21" x14ac:dyDescent="0.35">
      <c r="B21" s="6" t="s">
        <v>22</v>
      </c>
      <c r="C21" s="1"/>
      <c r="D21" s="58"/>
      <c r="E21" s="58"/>
      <c r="F21" s="29"/>
      <c r="G21" s="17"/>
      <c r="H21" s="17"/>
      <c r="I21" s="16"/>
      <c r="J21" s="29"/>
      <c r="K21" s="17"/>
      <c r="L21" s="17"/>
      <c r="M21" s="16"/>
      <c r="N21" s="29"/>
      <c r="O21" s="17"/>
      <c r="P21" s="17"/>
      <c r="Q21" s="16"/>
      <c r="R21" s="29"/>
      <c r="S21" s="17"/>
      <c r="T21" s="17"/>
      <c r="U21" s="16"/>
    </row>
    <row r="22" spans="2:21" x14ac:dyDescent="0.35">
      <c r="B22" s="7" t="s">
        <v>23</v>
      </c>
      <c r="C22" s="1"/>
      <c r="D22" s="56" t="s">
        <v>24</v>
      </c>
      <c r="E22" s="56" t="s">
        <v>24</v>
      </c>
      <c r="F22" s="28" t="s">
        <v>24</v>
      </c>
      <c r="G22" s="1" t="s">
        <v>24</v>
      </c>
      <c r="H22" s="1" t="s">
        <v>24</v>
      </c>
      <c r="I22" s="11" t="s">
        <v>24</v>
      </c>
      <c r="J22" s="28" t="s">
        <v>24</v>
      </c>
      <c r="K22" s="1" t="s">
        <v>24</v>
      </c>
      <c r="L22" s="1" t="s">
        <v>24</v>
      </c>
      <c r="M22" s="11" t="s">
        <v>24</v>
      </c>
      <c r="N22" s="28" t="s">
        <v>24</v>
      </c>
      <c r="O22" s="1" t="s">
        <v>24</v>
      </c>
      <c r="P22" s="1" t="s">
        <v>24</v>
      </c>
      <c r="Q22" s="11" t="s">
        <v>24</v>
      </c>
      <c r="R22" s="28" t="s">
        <v>24</v>
      </c>
      <c r="S22" s="1" t="s">
        <v>24</v>
      </c>
      <c r="T22" s="1" t="s">
        <v>24</v>
      </c>
      <c r="U22" s="11" t="s">
        <v>24</v>
      </c>
    </row>
    <row r="23" spans="2:21" x14ac:dyDescent="0.35">
      <c r="B23" s="7" t="s">
        <v>25</v>
      </c>
      <c r="C23" s="1"/>
      <c r="D23" s="56">
        <v>0</v>
      </c>
      <c r="E23" s="56">
        <v>0</v>
      </c>
      <c r="F23" s="28">
        <v>0</v>
      </c>
      <c r="G23" s="1">
        <v>0</v>
      </c>
      <c r="H23" s="1">
        <v>0</v>
      </c>
      <c r="I23" s="11">
        <v>0</v>
      </c>
      <c r="J23" s="28">
        <v>0</v>
      </c>
      <c r="K23" s="1">
        <v>0</v>
      </c>
      <c r="L23" s="1">
        <v>0</v>
      </c>
      <c r="M23" s="11">
        <v>0</v>
      </c>
      <c r="N23" s="28">
        <v>0</v>
      </c>
      <c r="O23" s="1">
        <v>0</v>
      </c>
      <c r="P23" s="1">
        <v>0</v>
      </c>
      <c r="Q23" s="11">
        <v>0</v>
      </c>
      <c r="R23" s="28">
        <v>0</v>
      </c>
      <c r="S23" s="1">
        <v>0</v>
      </c>
      <c r="T23" s="1">
        <v>0</v>
      </c>
      <c r="U23" s="11">
        <v>0</v>
      </c>
    </row>
    <row r="24" spans="2:21" x14ac:dyDescent="0.35">
      <c r="B24" s="7" t="s">
        <v>26</v>
      </c>
      <c r="C24" s="1"/>
      <c r="D24" s="56" t="s">
        <v>27</v>
      </c>
      <c r="E24" s="56" t="s">
        <v>27</v>
      </c>
      <c r="F24" s="28" t="s">
        <v>27</v>
      </c>
      <c r="G24" s="1" t="s">
        <v>27</v>
      </c>
      <c r="H24" s="1" t="s">
        <v>27</v>
      </c>
      <c r="I24" s="11" t="s">
        <v>27</v>
      </c>
      <c r="J24" s="28" t="s">
        <v>27</v>
      </c>
      <c r="K24" s="1" t="s">
        <v>27</v>
      </c>
      <c r="L24" s="1" t="s">
        <v>27</v>
      </c>
      <c r="M24" s="11" t="s">
        <v>27</v>
      </c>
      <c r="N24" s="28" t="s">
        <v>27</v>
      </c>
      <c r="O24" s="1" t="s">
        <v>27</v>
      </c>
      <c r="P24" s="1" t="s">
        <v>27</v>
      </c>
      <c r="Q24" s="11" t="s">
        <v>27</v>
      </c>
      <c r="R24" s="28" t="s">
        <v>27</v>
      </c>
      <c r="S24" s="1" t="s">
        <v>27</v>
      </c>
      <c r="T24" s="1" t="s">
        <v>27</v>
      </c>
      <c r="U24" s="11" t="s">
        <v>27</v>
      </c>
    </row>
    <row r="25" spans="2:21" x14ac:dyDescent="0.35">
      <c r="B25" s="6" t="s">
        <v>28</v>
      </c>
      <c r="C25" s="1"/>
      <c r="D25" s="58"/>
      <c r="E25" s="58"/>
      <c r="F25" s="29"/>
      <c r="G25" s="17"/>
      <c r="H25" s="17"/>
      <c r="I25" s="16"/>
      <c r="J25" s="29"/>
      <c r="K25" s="17"/>
      <c r="L25" s="17"/>
      <c r="M25" s="16"/>
      <c r="N25" s="29"/>
      <c r="O25" s="17"/>
      <c r="P25" s="17"/>
      <c r="Q25" s="16"/>
      <c r="R25" s="29"/>
      <c r="S25" s="17"/>
      <c r="T25" s="17"/>
      <c r="U25" s="16"/>
    </row>
    <row r="26" spans="2:21" x14ac:dyDescent="0.35">
      <c r="B26" s="8" t="s">
        <v>29</v>
      </c>
      <c r="C26" s="1"/>
      <c r="D26" s="56" cm="1">
        <f t="array" ref="D26">Comm_MCS_ModOrd(D16,D17)</f>
        <v>8</v>
      </c>
      <c r="E26" s="56" cm="1">
        <f t="array" ref="E26">Comm_MCS_ModOrd(E16,E17)</f>
        <v>8</v>
      </c>
      <c r="F26" s="28" cm="1">
        <f t="array" ref="F26">Comm_MCS_ModOrd(F16,F17)</f>
        <v>8</v>
      </c>
      <c r="G26" s="1" cm="1">
        <f t="array" ref="G26">Comm_MCS_ModOrd(G16,G17)</f>
        <v>8</v>
      </c>
      <c r="H26" s="1" cm="1">
        <f t="array" ref="H26">Comm_MCS_ModOrd(H16,H17)</f>
        <v>8</v>
      </c>
      <c r="I26" s="11" cm="1">
        <f t="array" ref="I26">Comm_MCS_ModOrd(I16,I17)</f>
        <v>8</v>
      </c>
      <c r="J26" s="28" cm="1">
        <f t="array" ref="J26">Comm_MCS_ModOrd(J16,J17)</f>
        <v>8</v>
      </c>
      <c r="K26" s="1" cm="1">
        <f t="array" ref="K26">Comm_MCS_ModOrd(K16,K17)</f>
        <v>8</v>
      </c>
      <c r="L26" s="1" cm="1">
        <f t="array" ref="L26">Comm_MCS_ModOrd(L16,L17)</f>
        <v>8</v>
      </c>
      <c r="M26" s="11" cm="1">
        <f t="array" ref="M26">Comm_MCS_ModOrd(M16,M17)</f>
        <v>8</v>
      </c>
      <c r="N26" s="28" cm="1">
        <f t="array" ref="N26">Comm_MCS_ModOrd(N16,N17)</f>
        <v>8</v>
      </c>
      <c r="O26" s="1" cm="1">
        <f t="array" ref="O26">Comm_MCS_ModOrd(O16,O17)</f>
        <v>8</v>
      </c>
      <c r="P26" s="1" cm="1">
        <f t="array" ref="P26">Comm_MCS_ModOrd(P16,P17)</f>
        <v>8</v>
      </c>
      <c r="Q26" s="11" cm="1">
        <f t="array" ref="Q26">Comm_MCS_ModOrd(Q16,Q17)</f>
        <v>8</v>
      </c>
      <c r="R26" s="28" cm="1">
        <f t="array" ref="R26">Comm_MCS_ModOrd(R16,R17)</f>
        <v>8</v>
      </c>
      <c r="S26" s="1" cm="1">
        <f t="array" ref="S26">Comm_MCS_ModOrd(S16,S17)</f>
        <v>8</v>
      </c>
      <c r="T26" s="1" cm="1">
        <f t="array" ref="T26">Comm_MCS_ModOrd(T16,T17)</f>
        <v>8</v>
      </c>
      <c r="U26" s="11" cm="1">
        <f t="array" ref="U26">Comm_MCS_ModOrd(U16,U17)</f>
        <v>8</v>
      </c>
    </row>
    <row r="27" spans="2:21" x14ac:dyDescent="0.35">
      <c r="B27" s="8" t="s">
        <v>30</v>
      </c>
      <c r="C27" s="1"/>
      <c r="D27" s="56" cm="1">
        <f t="array" ref="D27">Comm_MCS_CodeRate(D16,D17)</f>
        <v>948</v>
      </c>
      <c r="E27" s="56" cm="1">
        <f t="array" ref="E27">Comm_MCS_CodeRate(E16,E17)</f>
        <v>948</v>
      </c>
      <c r="F27" s="28" cm="1">
        <f t="array" ref="F27">Comm_MCS_CodeRate(F16,F17)</f>
        <v>948</v>
      </c>
      <c r="G27" s="1" cm="1">
        <f t="array" ref="G27">Comm_MCS_CodeRate(G16,G17)</f>
        <v>948</v>
      </c>
      <c r="H27" s="1" cm="1">
        <f t="array" ref="H27">Comm_MCS_CodeRate(H16,H17)</f>
        <v>948</v>
      </c>
      <c r="I27" s="11" cm="1">
        <f t="array" ref="I27">Comm_MCS_CodeRate(I16,I17)</f>
        <v>948</v>
      </c>
      <c r="J27" s="28" cm="1">
        <f t="array" ref="J27">Comm_MCS_CodeRate(J16,J17)</f>
        <v>948</v>
      </c>
      <c r="K27" s="1" cm="1">
        <f t="array" ref="K27">Comm_MCS_CodeRate(K16,K17)</f>
        <v>948</v>
      </c>
      <c r="L27" s="1" cm="1">
        <f t="array" ref="L27">Comm_MCS_CodeRate(L16,L17)</f>
        <v>948</v>
      </c>
      <c r="M27" s="11" cm="1">
        <f t="array" ref="M27">Comm_MCS_CodeRate(M16,M17)</f>
        <v>948</v>
      </c>
      <c r="N27" s="28" cm="1">
        <f t="array" ref="N27">Comm_MCS_CodeRate(N16,N17)</f>
        <v>948</v>
      </c>
      <c r="O27" s="1" cm="1">
        <f t="array" ref="O27">Comm_MCS_CodeRate(O16,O17)</f>
        <v>948</v>
      </c>
      <c r="P27" s="1" cm="1">
        <f t="array" ref="P27">Comm_MCS_CodeRate(P16,P17)</f>
        <v>948</v>
      </c>
      <c r="Q27" s="11" cm="1">
        <f t="array" ref="Q27">Comm_MCS_CodeRate(Q16,Q17)</f>
        <v>948</v>
      </c>
      <c r="R27" s="28" cm="1">
        <f t="array" ref="R27">Comm_MCS_CodeRate(R16,R17)</f>
        <v>948</v>
      </c>
      <c r="S27" s="1" cm="1">
        <f t="array" ref="S27">Comm_MCS_CodeRate(S16,S17)</f>
        <v>948</v>
      </c>
      <c r="T27" s="1" cm="1">
        <f t="array" ref="T27">Comm_MCS_CodeRate(T16,T17)</f>
        <v>948</v>
      </c>
      <c r="U27" s="11" cm="1">
        <f t="array" ref="U27">Comm_MCS_CodeRate(U16,U17)</f>
        <v>948</v>
      </c>
    </row>
    <row r="28" spans="2:21" x14ac:dyDescent="0.35">
      <c r="B28" s="9" t="s">
        <v>31</v>
      </c>
      <c r="C28" s="1"/>
      <c r="D28" s="56" cm="1">
        <f t="array" ref="D28">Comm_Z(D11,D26,D27,D12,D13,D10/D18)</f>
        <v>384</v>
      </c>
      <c r="E28" s="56" cm="1">
        <f t="array" ref="E28">Comm_Z(E11,E26,E27,E12,E13,E10/E18)</f>
        <v>384</v>
      </c>
      <c r="F28" s="28" cm="1">
        <f t="array" ref="F28">Comm_Z(F11,F26,F27,F12,F13,F10/F18)</f>
        <v>384</v>
      </c>
      <c r="G28" s="1" cm="1">
        <f t="array" ref="G28">Comm_Z(G11,G26,G27,G12,G13,G10/G18)</f>
        <v>384</v>
      </c>
      <c r="H28" s="1" cm="1">
        <f t="array" ref="H28">Comm_Z(H11,H26,H27,H12,H13,H10/H18)</f>
        <v>384</v>
      </c>
      <c r="I28" s="11" cm="1">
        <f t="array" ref="I28">Comm_Z(I11,I26,I27,I12,I13,I10/I18)</f>
        <v>384</v>
      </c>
      <c r="J28" s="28" cm="1">
        <f t="array" ref="J28">Comm_Z(J11,J26,J27,J12,J13,J10/J18)</f>
        <v>384</v>
      </c>
      <c r="K28" s="1" cm="1">
        <f t="array" ref="K28">Comm_Z(K11,K26,K27,K12,K13,K10/K18)</f>
        <v>384</v>
      </c>
      <c r="L28" s="1" cm="1">
        <f t="array" ref="L28">Comm_Z(L11,L26,L27,L12,L13,L10/L18)</f>
        <v>384</v>
      </c>
      <c r="M28" s="11" cm="1">
        <f t="array" ref="M28">Comm_Z(M11,M26,M27,M12,M13,M10/M18)</f>
        <v>384</v>
      </c>
      <c r="N28" s="28" cm="1">
        <f t="array" ref="N28">Comm_Z(N11,N26,N27,N12,N13,N10/N18)</f>
        <v>320</v>
      </c>
      <c r="O28" s="1" cm="1">
        <f t="array" ref="O28">Comm_Z(O11,O26,O27,O12,O13,O10/O18)</f>
        <v>320</v>
      </c>
      <c r="P28" s="1" cm="1">
        <f t="array" ref="P28">Comm_Z(P11,P26,P27,P12,P13,P10/P18)</f>
        <v>320</v>
      </c>
      <c r="Q28" s="11" cm="1">
        <f t="array" ref="Q28">Comm_Z(Q11,Q26,Q27,Q12,Q13,Q10/Q18)</f>
        <v>320</v>
      </c>
      <c r="R28" s="28" cm="1">
        <f t="array" ref="R28">Comm_Z(R11,R26,R27,R12,R13,R10/R18)</f>
        <v>320</v>
      </c>
      <c r="S28" s="1" cm="1">
        <f t="array" ref="S28">Comm_Z(S11,S26,S27,S12,S13,S10/S18)</f>
        <v>320</v>
      </c>
      <c r="T28" s="1" cm="1">
        <f t="array" ref="T28">Comm_Z(T11,T26,T27,T12,T13,T10/T18)</f>
        <v>320</v>
      </c>
      <c r="U28" s="11" cm="1">
        <f t="array" ref="U28">Comm_Z(U11,U26,U27,U12,U13,U10/U18)</f>
        <v>320</v>
      </c>
    </row>
    <row r="29" spans="2:21" x14ac:dyDescent="0.35">
      <c r="B29" s="9" t="s">
        <v>32</v>
      </c>
      <c r="C29" s="1"/>
      <c r="D29" s="56" cm="1">
        <f t="array" ref="D29">Comm_TBS(D11,D26,D27,D12,D13,D10/D18)</f>
        <v>590128</v>
      </c>
      <c r="E29" s="56" cm="1">
        <f t="array" ref="E29">Comm_TBS(E11,E26,E27,E12,E13,E10/E18)</f>
        <v>286976</v>
      </c>
      <c r="F29" s="28" cm="1">
        <f t="array" ref="F29">Comm_TBS(F11,F26,F27,F12,F13,F10/F18)</f>
        <v>143400</v>
      </c>
      <c r="G29" s="1" cm="1">
        <f t="array" ref="G29">Comm_TBS(G11,G26,G27,G12,G13,G10/G18)</f>
        <v>143400</v>
      </c>
      <c r="H29" s="1" cm="1">
        <f t="array" ref="H29">Comm_TBS(H11,H26,H27,H12,H13,H10/H18)</f>
        <v>143400</v>
      </c>
      <c r="I29" s="11" cm="1">
        <f t="array" ref="I29">Comm_TBS(I11,I26,I27,I12,I13,I10/I18)</f>
        <v>143400</v>
      </c>
      <c r="J29" s="28" cm="1">
        <f t="array" ref="J29">Comm_TBS(J11,J26,J27,J12,J13,J10/J18)</f>
        <v>71688</v>
      </c>
      <c r="K29" s="1" cm="1">
        <f t="array" ref="K29">Comm_TBS(K11,K26,K27,K12,K13,K10/K18)</f>
        <v>71688</v>
      </c>
      <c r="L29" s="1" cm="1">
        <f t="array" ref="L29">Comm_TBS(L11,L26,L27,L12,L13,L10/L18)</f>
        <v>71688</v>
      </c>
      <c r="M29" s="11" cm="1">
        <f t="array" ref="M29">Comm_TBS(M11,M26,M27,M12,M13,M10/M18)</f>
        <v>71688</v>
      </c>
      <c r="N29" s="28" cm="1">
        <f t="array" ref="N29">Comm_TBS(N11,N26,N27,N12,N13,N10/N18)</f>
        <v>25608</v>
      </c>
      <c r="O29" s="1" cm="1">
        <f t="array" ref="O29">Comm_TBS(O11,O26,O27,O12,O13,O10/O18)</f>
        <v>25608</v>
      </c>
      <c r="P29" s="1" cm="1">
        <f t="array" ref="P29">Comm_TBS(P11,P26,P27,P12,P13,P10/P18)</f>
        <v>25608</v>
      </c>
      <c r="Q29" s="11" cm="1">
        <f t="array" ref="Q29">Comm_TBS(Q11,Q26,Q27,Q12,Q13,Q10/Q18)</f>
        <v>25608</v>
      </c>
      <c r="R29" s="28" cm="1">
        <f t="array" ref="R29">Comm_TBS(R11,R26,R27,R12,R13,R10/R18)</f>
        <v>12808</v>
      </c>
      <c r="S29" s="1" cm="1">
        <f t="array" ref="S29">Comm_TBS(S11,S26,S27,S12,S13,S10/S18)</f>
        <v>12808</v>
      </c>
      <c r="T29" s="1" cm="1">
        <f t="array" ref="T29">Comm_TBS(T11,T26,T27,T12,T13,T10/T18)</f>
        <v>12808</v>
      </c>
      <c r="U29" s="11" cm="1">
        <f t="array" ref="U29">Comm_TBS(U11,U26,U27,U12,U13,U10/U18)</f>
        <v>12808</v>
      </c>
    </row>
    <row r="30" spans="2:21" x14ac:dyDescent="0.35">
      <c r="B30" s="9" t="s">
        <v>33</v>
      </c>
      <c r="C30" s="1"/>
      <c r="D30" s="56" cm="1">
        <f t="array" ref="D30">Comm_CB(D11,D26,D27,D12,D13,D10/D18)</f>
        <v>71</v>
      </c>
      <c r="E30" s="56" cm="1">
        <f t="array" ref="E30">Comm_CB(E11,E26,E27,E12,E13,E10/E18)</f>
        <v>35</v>
      </c>
      <c r="F30" s="28" cm="1">
        <f t="array" ref="F30">Comm_CB(F11,F26,F27,F12,F13,F10/F18)</f>
        <v>18</v>
      </c>
      <c r="G30" s="1" cm="1">
        <f t="array" ref="G30">Comm_CB(G11,G26,G27,G12,G13,G10/G18)</f>
        <v>18</v>
      </c>
      <c r="H30" s="1" cm="1">
        <f t="array" ref="H30">Comm_CB(H11,H26,H27,H12,H13,H10/H18)</f>
        <v>18</v>
      </c>
      <c r="I30" s="11" cm="1">
        <f t="array" ref="I30">Comm_CB(I11,I26,I27,I12,I13,I10/I18)</f>
        <v>18</v>
      </c>
      <c r="J30" s="28" cm="1">
        <f t="array" ref="J30">Comm_CB(J11,J26,J27,J12,J13,J10/J18)</f>
        <v>9</v>
      </c>
      <c r="K30" s="1" cm="1">
        <f t="array" ref="K30">Comm_CB(K11,K26,K27,K12,K13,K10/K18)</f>
        <v>9</v>
      </c>
      <c r="L30" s="1" cm="1">
        <f t="array" ref="L30">Comm_CB(L11,L26,L27,L12,L13,L10/L18)</f>
        <v>9</v>
      </c>
      <c r="M30" s="11" cm="1">
        <f t="array" ref="M30">Comm_CB(M11,M26,M27,M12,M13,M10/M18)</f>
        <v>9</v>
      </c>
      <c r="N30" s="28" cm="1">
        <f t="array" ref="N30">Comm_CB(N11,N26,N27,N12,N13,N10/N18)</f>
        <v>4</v>
      </c>
      <c r="O30" s="1" cm="1">
        <f t="array" ref="O30">Comm_CB(O11,O26,O27,O12,O13,O10/O18)</f>
        <v>4</v>
      </c>
      <c r="P30" s="1" cm="1">
        <f t="array" ref="P30">Comm_CB(P11,P26,P27,P12,P13,P10/P18)</f>
        <v>4</v>
      </c>
      <c r="Q30" s="11" cm="1">
        <f t="array" ref="Q30">Comm_CB(Q11,Q26,Q27,Q12,Q13,Q10/Q18)</f>
        <v>4</v>
      </c>
      <c r="R30" s="28" cm="1">
        <f t="array" ref="R30">Comm_CB(R11,R26,R27,R12,R13,R10/R18)</f>
        <v>2</v>
      </c>
      <c r="S30" s="1" cm="1">
        <f t="array" ref="S30">Comm_CB(S11,S26,S27,S12,S13,S10/S18)</f>
        <v>2</v>
      </c>
      <c r="T30" s="1" cm="1">
        <f t="array" ref="T30">Comm_CB(T11,T26,T27,T12,T13,T10/T18)</f>
        <v>2</v>
      </c>
      <c r="U30" s="11" cm="1">
        <f t="array" ref="U30">Comm_CB(U11,U26,U27,U12,U13,U10/U18)</f>
        <v>2</v>
      </c>
    </row>
    <row r="31" spans="2:21" x14ac:dyDescent="0.35">
      <c r="B31" s="9" t="s">
        <v>34</v>
      </c>
      <c r="D31" s="59" cm="1">
        <f t="array" ref="D31">Comm_Parity_Nodes(D11,D26,D27,D12,D13,D10/D18)</f>
        <v>4</v>
      </c>
      <c r="E31" s="59" cm="1">
        <f t="array" ref="E31">Comm_Parity_Nodes(E11,E26,E27,E12,E13,E10/E18)</f>
        <v>4</v>
      </c>
      <c r="F31" s="30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1" cm="1">
        <f t="array" ref="H31">Comm_Parity_Nodes(H11,H26,H27,H12,H13,H10/H18)</f>
        <v>4</v>
      </c>
      <c r="I31" s="12" cm="1">
        <f t="array" ref="I31">Comm_Parity_Nodes(I11,I26,I27,I12,I13,I10/I18)</f>
        <v>4</v>
      </c>
      <c r="J31" s="30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1" cm="1">
        <f t="array" ref="L31">Comm_Parity_Nodes(L11,L26,L27,L12,L13,L10/L18)</f>
        <v>4</v>
      </c>
      <c r="M31" s="12" cm="1">
        <f t="array" ref="M31">Comm_Parity_Nodes(M11,M26,M27,M12,M13,M10/M18)</f>
        <v>4</v>
      </c>
      <c r="N31" s="30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1" cm="1">
        <f t="array" ref="P31">Comm_Parity_Nodes(P11,P26,P27,P12,P13,P10/P18)</f>
        <v>4</v>
      </c>
      <c r="Q31" s="12" cm="1">
        <f t="array" ref="Q31">Comm_Parity_Nodes(Q11,Q26,Q27,Q12,Q13,Q10/Q18)</f>
        <v>4</v>
      </c>
      <c r="R31" s="30" cm="1">
        <f t="array" ref="R31">Comm_Parity_Nodes(R11,R26,R27,R12,R13,R10/R18)</f>
        <v>4</v>
      </c>
      <c r="S31" s="31" cm="1">
        <f t="array" ref="S31">Comm_Parity_Nodes(S11,S26,S27,S12,S13,S10/S18)</f>
        <v>4</v>
      </c>
      <c r="T31" s="31" cm="1">
        <f t="array" ref="T31">Comm_Parity_Nodes(T11,T26,T27,T12,T13,T10/T18)</f>
        <v>4</v>
      </c>
      <c r="U31" s="12" cm="1">
        <f t="array" ref="U31">Comm_Parity_Nodes(U11,U26,U27,U12,U13,U10/U18)</f>
        <v>4</v>
      </c>
    </row>
    <row r="32" spans="2:21" x14ac:dyDescent="0.35">
      <c r="B32" s="6" t="s">
        <v>35</v>
      </c>
      <c r="D32" s="58"/>
      <c r="E32" s="58"/>
      <c r="F32" s="29"/>
      <c r="G32" s="17"/>
      <c r="H32" s="17"/>
      <c r="I32" s="17"/>
      <c r="J32" s="29"/>
      <c r="K32" s="17"/>
      <c r="L32" s="17"/>
      <c r="M32" s="17"/>
      <c r="N32" s="29"/>
      <c r="O32" s="17"/>
      <c r="P32" s="17"/>
      <c r="Q32" s="16"/>
      <c r="R32" s="29"/>
      <c r="S32" s="17"/>
      <c r="T32" s="17"/>
      <c r="U32" s="16"/>
    </row>
    <row r="33" spans="2:21" x14ac:dyDescent="0.35">
      <c r="B33" s="9" t="s">
        <v>36</v>
      </c>
      <c r="D33" s="55"/>
      <c r="E33" s="55"/>
      <c r="F33" s="26"/>
      <c r="J33" s="26"/>
      <c r="N33" s="26"/>
      <c r="Q33" s="19"/>
      <c r="R33" s="26"/>
      <c r="U33" s="19"/>
    </row>
    <row r="34" spans="2:21" ht="15" thickBot="1" x14ac:dyDescent="0.4">
      <c r="B34" s="40" t="s">
        <v>56</v>
      </c>
      <c r="D34" s="60">
        <f>SUMPRODUCT(D18:D18, D29:D29)  / 5 / 0.5/1000/1000</f>
        <v>0.47210240000000003</v>
      </c>
      <c r="E34" s="60">
        <f>SUMPRODUCT(E18:E18, E29:E29)  / 5 / 0.5/1000/1000</f>
        <v>0.22958079999999997</v>
      </c>
      <c r="F34" s="38">
        <f>SUMPRODUCT(F18:I18, F29:I29)  / 5 / 0.5/1000/1000</f>
        <v>0.45888000000000001</v>
      </c>
      <c r="G34" s="32"/>
      <c r="H34" s="32"/>
      <c r="I34" s="32"/>
      <c r="J34" s="38">
        <f>SUMPRODUCT(J18:M18, J29:M29)  / 5 / 0.5/1000/1000</f>
        <v>0.22940160000000001</v>
      </c>
      <c r="K34" s="32"/>
      <c r="L34" s="32"/>
      <c r="M34" s="32"/>
      <c r="N34" s="38">
        <f>SUMPRODUCT(N18:Q18, N29:Q29)  / 5 / 0.5/1000/1000</f>
        <v>8.1945599999999993E-2</v>
      </c>
      <c r="O34" s="32"/>
      <c r="P34" s="32"/>
      <c r="Q34" s="33"/>
      <c r="R34" s="38">
        <f>SUMPRODUCT(R18:U18, R29:U29)  / 5 / 0.5/1000/1000</f>
        <v>4.0985599999999997E-2</v>
      </c>
      <c r="S34" s="32"/>
      <c r="T34" s="32"/>
      <c r="U34" s="33"/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A1CFE-1418-43A5-965F-D1F14A7A4C13}">
  <dimension ref="B1:AW34"/>
  <sheetViews>
    <sheetView topLeftCell="A6" workbookViewId="0">
      <selection activeCell="D34" sqref="D3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49" ht="15" thickBot="1" x14ac:dyDescent="0.4"/>
    <row r="2" spans="2:49" x14ac:dyDescent="0.35">
      <c r="B2" s="2" t="s">
        <v>0</v>
      </c>
      <c r="D2" s="34" t="s">
        <v>48</v>
      </c>
      <c r="E2" s="22"/>
      <c r="F2" s="22"/>
      <c r="G2" s="22"/>
      <c r="H2" s="34" t="s">
        <v>60</v>
      </c>
      <c r="I2" s="22"/>
      <c r="J2" s="22"/>
      <c r="K2" s="22"/>
      <c r="L2" s="34" t="s">
        <v>63</v>
      </c>
      <c r="M2" s="22"/>
      <c r="N2" s="22"/>
      <c r="O2" s="22"/>
      <c r="P2" s="34" t="s">
        <v>66</v>
      </c>
      <c r="Q2" s="22"/>
      <c r="R2" s="22"/>
      <c r="S2" s="22"/>
      <c r="T2" s="34" t="s">
        <v>67</v>
      </c>
      <c r="U2" s="22"/>
      <c r="V2" s="22"/>
      <c r="W2" s="22"/>
      <c r="X2" s="34" t="s">
        <v>68</v>
      </c>
      <c r="Y2" s="22"/>
      <c r="Z2" s="22"/>
      <c r="AA2" s="22"/>
      <c r="AB2" s="34" t="s">
        <v>75</v>
      </c>
      <c r="AC2" s="22"/>
      <c r="AD2" s="22"/>
      <c r="AE2" s="22"/>
      <c r="AF2" s="34" t="s">
        <v>49</v>
      </c>
      <c r="AG2" s="35"/>
      <c r="AH2" s="36"/>
      <c r="AI2" s="34" t="s">
        <v>50</v>
      </c>
      <c r="AJ2" s="35"/>
      <c r="AK2" s="35"/>
      <c r="AL2" s="35"/>
      <c r="AM2" s="35"/>
      <c r="AN2" s="35"/>
      <c r="AO2" s="35"/>
      <c r="AP2" s="34" t="s">
        <v>126</v>
      </c>
      <c r="AQ2" s="22"/>
      <c r="AR2" s="34" t="s">
        <v>127</v>
      </c>
      <c r="AS2" s="22"/>
      <c r="AT2" s="34" t="s">
        <v>130</v>
      </c>
      <c r="AU2" s="22"/>
      <c r="AV2" s="34" t="s">
        <v>131</v>
      </c>
      <c r="AW2" s="22"/>
    </row>
    <row r="3" spans="2:49" x14ac:dyDescent="0.35">
      <c r="B3" s="3" t="s">
        <v>3</v>
      </c>
      <c r="D3" s="26">
        <v>100</v>
      </c>
      <c r="E3">
        <v>100</v>
      </c>
      <c r="F3">
        <v>100</v>
      </c>
      <c r="G3">
        <v>100</v>
      </c>
      <c r="H3" s="26">
        <v>100</v>
      </c>
      <c r="I3">
        <v>100</v>
      </c>
      <c r="J3">
        <v>100</v>
      </c>
      <c r="K3">
        <v>100</v>
      </c>
      <c r="L3" s="26">
        <v>100</v>
      </c>
      <c r="M3">
        <v>100</v>
      </c>
      <c r="N3">
        <v>100</v>
      </c>
      <c r="O3">
        <v>100</v>
      </c>
      <c r="P3" s="26">
        <v>100</v>
      </c>
      <c r="Q3">
        <v>100</v>
      </c>
      <c r="R3">
        <v>100</v>
      </c>
      <c r="S3">
        <v>100</v>
      </c>
      <c r="T3" s="26">
        <v>100</v>
      </c>
      <c r="U3">
        <v>100</v>
      </c>
      <c r="V3">
        <v>100</v>
      </c>
      <c r="W3">
        <v>100</v>
      </c>
      <c r="X3" s="26">
        <v>100</v>
      </c>
      <c r="Y3">
        <v>100</v>
      </c>
      <c r="Z3">
        <v>100</v>
      </c>
      <c r="AA3">
        <v>100</v>
      </c>
      <c r="AB3" s="26">
        <v>100</v>
      </c>
      <c r="AC3">
        <v>100</v>
      </c>
      <c r="AD3">
        <v>100</v>
      </c>
      <c r="AE3">
        <v>100</v>
      </c>
      <c r="AF3" s="28">
        <v>100</v>
      </c>
      <c r="AG3" s="1">
        <v>100</v>
      </c>
      <c r="AH3" s="11">
        <v>100</v>
      </c>
      <c r="AI3" s="28">
        <v>100</v>
      </c>
      <c r="AJ3" s="1">
        <v>100</v>
      </c>
      <c r="AK3" s="1">
        <v>100</v>
      </c>
      <c r="AL3" s="1">
        <v>100</v>
      </c>
      <c r="AM3" s="1">
        <v>100</v>
      </c>
      <c r="AN3" s="1">
        <v>100</v>
      </c>
      <c r="AO3" s="1">
        <v>100</v>
      </c>
      <c r="AP3" s="26">
        <v>100</v>
      </c>
      <c r="AQ3">
        <v>100</v>
      </c>
      <c r="AR3" s="26">
        <v>100</v>
      </c>
      <c r="AS3">
        <v>100</v>
      </c>
      <c r="AT3" s="26">
        <v>20</v>
      </c>
      <c r="AU3">
        <v>20</v>
      </c>
      <c r="AV3" s="26">
        <v>20</v>
      </c>
      <c r="AW3">
        <v>20</v>
      </c>
    </row>
    <row r="4" spans="2:49" x14ac:dyDescent="0.35">
      <c r="B4" s="3" t="s">
        <v>4</v>
      </c>
      <c r="D4" s="26">
        <v>273</v>
      </c>
      <c r="E4">
        <v>273</v>
      </c>
      <c r="F4">
        <v>273</v>
      </c>
      <c r="G4">
        <v>273</v>
      </c>
      <c r="H4" s="26">
        <v>273</v>
      </c>
      <c r="I4">
        <v>273</v>
      </c>
      <c r="J4">
        <v>273</v>
      </c>
      <c r="K4">
        <v>273</v>
      </c>
      <c r="L4" s="26">
        <v>273</v>
      </c>
      <c r="M4">
        <v>273</v>
      </c>
      <c r="N4">
        <v>273</v>
      </c>
      <c r="O4">
        <v>273</v>
      </c>
      <c r="P4" s="26">
        <v>273</v>
      </c>
      <c r="Q4">
        <v>273</v>
      </c>
      <c r="R4">
        <v>273</v>
      </c>
      <c r="S4">
        <v>273</v>
      </c>
      <c r="T4" s="26">
        <v>273</v>
      </c>
      <c r="U4">
        <v>273</v>
      </c>
      <c r="V4">
        <v>273</v>
      </c>
      <c r="W4">
        <v>273</v>
      </c>
      <c r="X4" s="26">
        <v>273</v>
      </c>
      <c r="Y4">
        <v>273</v>
      </c>
      <c r="Z4">
        <v>273</v>
      </c>
      <c r="AA4">
        <v>273</v>
      </c>
      <c r="AB4" s="26">
        <v>273</v>
      </c>
      <c r="AC4">
        <v>273</v>
      </c>
      <c r="AD4">
        <v>273</v>
      </c>
      <c r="AE4">
        <v>273</v>
      </c>
      <c r="AF4" s="28">
        <v>273</v>
      </c>
      <c r="AG4" s="1">
        <v>273</v>
      </c>
      <c r="AH4" s="11">
        <v>273</v>
      </c>
      <c r="AI4" s="28">
        <v>273</v>
      </c>
      <c r="AJ4" s="1">
        <v>273</v>
      </c>
      <c r="AK4" s="1">
        <v>273</v>
      </c>
      <c r="AL4" s="1">
        <v>273</v>
      </c>
      <c r="AM4" s="1">
        <v>273</v>
      </c>
      <c r="AN4" s="1">
        <v>273</v>
      </c>
      <c r="AO4" s="1">
        <v>273</v>
      </c>
      <c r="AP4" s="26">
        <v>273</v>
      </c>
      <c r="AQ4">
        <v>273</v>
      </c>
      <c r="AR4" s="26">
        <v>273</v>
      </c>
      <c r="AS4">
        <v>273</v>
      </c>
      <c r="AT4" s="26">
        <v>51</v>
      </c>
      <c r="AU4">
        <v>51</v>
      </c>
      <c r="AV4" s="26">
        <v>51</v>
      </c>
      <c r="AW4">
        <v>51</v>
      </c>
    </row>
    <row r="5" spans="2:49" x14ac:dyDescent="0.35">
      <c r="B5" s="3" t="s">
        <v>5</v>
      </c>
      <c r="D5" s="26">
        <v>272</v>
      </c>
      <c r="E5">
        <v>272</v>
      </c>
      <c r="F5">
        <v>272</v>
      </c>
      <c r="G5">
        <v>272</v>
      </c>
      <c r="H5" s="26">
        <v>272</v>
      </c>
      <c r="I5">
        <v>272</v>
      </c>
      <c r="J5">
        <v>272</v>
      </c>
      <c r="K5">
        <v>272</v>
      </c>
      <c r="L5" s="26">
        <v>272</v>
      </c>
      <c r="M5">
        <v>272</v>
      </c>
      <c r="N5">
        <v>272</v>
      </c>
      <c r="O5">
        <v>272</v>
      </c>
      <c r="P5" s="26">
        <v>272</v>
      </c>
      <c r="Q5">
        <v>272</v>
      </c>
      <c r="R5">
        <v>272</v>
      </c>
      <c r="S5">
        <v>272</v>
      </c>
      <c r="T5" s="26">
        <v>272</v>
      </c>
      <c r="U5">
        <v>272</v>
      </c>
      <c r="V5">
        <v>272</v>
      </c>
      <c r="W5">
        <v>272</v>
      </c>
      <c r="X5" s="26">
        <v>272</v>
      </c>
      <c r="Y5">
        <v>272</v>
      </c>
      <c r="Z5">
        <v>272</v>
      </c>
      <c r="AA5">
        <v>272</v>
      </c>
      <c r="AB5" s="26">
        <v>272</v>
      </c>
      <c r="AC5">
        <v>272</v>
      </c>
      <c r="AD5">
        <v>272</v>
      </c>
      <c r="AE5">
        <v>272</v>
      </c>
      <c r="AF5" s="28">
        <v>96</v>
      </c>
      <c r="AG5" s="1">
        <v>96</v>
      </c>
      <c r="AH5" s="11">
        <v>96</v>
      </c>
      <c r="AI5" s="28">
        <v>96</v>
      </c>
      <c r="AJ5" s="1">
        <v>96</v>
      </c>
      <c r="AK5" s="1">
        <v>96</v>
      </c>
      <c r="AL5" s="1">
        <v>96</v>
      </c>
      <c r="AM5" s="1">
        <v>96</v>
      </c>
      <c r="AN5" s="1">
        <v>96</v>
      </c>
      <c r="AO5" s="1">
        <v>96</v>
      </c>
      <c r="AP5" s="26">
        <v>272</v>
      </c>
      <c r="AQ5">
        <v>272</v>
      </c>
      <c r="AR5" s="26">
        <v>272</v>
      </c>
      <c r="AS5">
        <v>272</v>
      </c>
      <c r="AT5" s="26">
        <v>50</v>
      </c>
      <c r="AU5">
        <v>50</v>
      </c>
      <c r="AV5" s="26">
        <v>50</v>
      </c>
      <c r="AW5">
        <v>50</v>
      </c>
    </row>
    <row r="6" spans="2:49" x14ac:dyDescent="0.35">
      <c r="B6" s="3" t="s">
        <v>6</v>
      </c>
      <c r="D6" s="26">
        <v>1</v>
      </c>
      <c r="E6">
        <v>2</v>
      </c>
      <c r="F6">
        <v>3</v>
      </c>
      <c r="G6">
        <v>4</v>
      </c>
      <c r="H6" s="26">
        <v>1</v>
      </c>
      <c r="I6">
        <v>2</v>
      </c>
      <c r="J6">
        <v>3</v>
      </c>
      <c r="K6">
        <v>4</v>
      </c>
      <c r="L6" s="26">
        <v>1</v>
      </c>
      <c r="M6">
        <v>2</v>
      </c>
      <c r="N6">
        <v>3</v>
      </c>
      <c r="O6">
        <v>4</v>
      </c>
      <c r="P6" s="26">
        <v>1</v>
      </c>
      <c r="Q6">
        <v>2</v>
      </c>
      <c r="R6">
        <v>3</v>
      </c>
      <c r="S6">
        <v>4</v>
      </c>
      <c r="T6" s="26">
        <v>1</v>
      </c>
      <c r="U6">
        <v>2</v>
      </c>
      <c r="V6">
        <v>3</v>
      </c>
      <c r="W6">
        <v>4</v>
      </c>
      <c r="X6" s="26">
        <v>1</v>
      </c>
      <c r="Y6">
        <v>2</v>
      </c>
      <c r="Z6">
        <v>3</v>
      </c>
      <c r="AA6">
        <v>4</v>
      </c>
      <c r="AB6" s="26">
        <v>1</v>
      </c>
      <c r="AC6">
        <v>2</v>
      </c>
      <c r="AD6">
        <v>3</v>
      </c>
      <c r="AE6">
        <v>4</v>
      </c>
      <c r="AF6" s="28">
        <v>1</v>
      </c>
      <c r="AG6" s="1">
        <v>2</v>
      </c>
      <c r="AH6" s="11">
        <v>3</v>
      </c>
      <c r="AI6" s="28">
        <v>1</v>
      </c>
      <c r="AJ6" s="1">
        <v>2</v>
      </c>
      <c r="AK6" s="1">
        <v>3</v>
      </c>
      <c r="AL6" s="1">
        <v>4</v>
      </c>
      <c r="AM6" s="1">
        <v>5</v>
      </c>
      <c r="AN6" s="1">
        <v>6</v>
      </c>
      <c r="AO6" s="1">
        <v>7</v>
      </c>
      <c r="AP6" s="26">
        <v>1</v>
      </c>
      <c r="AQ6">
        <v>2</v>
      </c>
      <c r="AR6" s="26">
        <v>1</v>
      </c>
      <c r="AS6">
        <v>2</v>
      </c>
      <c r="AT6" s="26">
        <v>1</v>
      </c>
      <c r="AU6">
        <v>2</v>
      </c>
      <c r="AV6" s="26">
        <v>1</v>
      </c>
      <c r="AW6">
        <v>2</v>
      </c>
    </row>
    <row r="7" spans="2:49" x14ac:dyDescent="0.35">
      <c r="B7" s="3" t="s">
        <v>7</v>
      </c>
      <c r="D7" s="27">
        <f>D11/D5</f>
        <v>0.25</v>
      </c>
      <c r="E7" s="14">
        <f t="shared" ref="E7:G7" si="0">E11/E5</f>
        <v>0.25</v>
      </c>
      <c r="F7" s="14">
        <f t="shared" si="0"/>
        <v>0.25</v>
      </c>
      <c r="G7" s="14">
        <f t="shared" si="0"/>
        <v>0.25</v>
      </c>
      <c r="H7" s="27">
        <f>H11/H5</f>
        <v>0.22426470588235295</v>
      </c>
      <c r="I7" s="14">
        <f t="shared" ref="I7:K7" si="1">I11/I5</f>
        <v>0.22426470588235295</v>
      </c>
      <c r="J7" s="14">
        <f t="shared" si="1"/>
        <v>0.22426470588235295</v>
      </c>
      <c r="K7" s="14">
        <f t="shared" si="1"/>
        <v>0.22426470588235295</v>
      </c>
      <c r="L7" s="27">
        <f>L11/L5</f>
        <v>0.21323529411764705</v>
      </c>
      <c r="M7" s="14">
        <f t="shared" ref="M7:O7" si="2">M11/M5</f>
        <v>0.21323529411764705</v>
      </c>
      <c r="N7" s="14">
        <f t="shared" si="2"/>
        <v>0.21323529411764705</v>
      </c>
      <c r="O7" s="14">
        <f t="shared" si="2"/>
        <v>0.21323529411764705</v>
      </c>
      <c r="P7" s="27">
        <f>P11/P5</f>
        <v>0.19852941176470587</v>
      </c>
      <c r="Q7" s="14">
        <f t="shared" ref="Q7:S7" si="3">Q11/Q5</f>
        <v>0.19852941176470587</v>
      </c>
      <c r="R7" s="14">
        <f t="shared" si="3"/>
        <v>0.19852941176470587</v>
      </c>
      <c r="S7" s="14">
        <f t="shared" si="3"/>
        <v>0.19852941176470587</v>
      </c>
      <c r="T7" s="27">
        <f>T11/T5</f>
        <v>0.1875</v>
      </c>
      <c r="U7" s="14">
        <f t="shared" ref="U7:W7" si="4">U11/U5</f>
        <v>0.1875</v>
      </c>
      <c r="V7" s="14">
        <f t="shared" si="4"/>
        <v>0.1875</v>
      </c>
      <c r="W7" s="14">
        <f t="shared" si="4"/>
        <v>0.1875</v>
      </c>
      <c r="X7" s="27">
        <f>X11/X5</f>
        <v>0.17279411764705882</v>
      </c>
      <c r="Y7" s="14">
        <f t="shared" ref="Y7:AA7" si="5">Y11/Y5</f>
        <v>0.17279411764705882</v>
      </c>
      <c r="Z7" s="14">
        <f t="shared" si="5"/>
        <v>0.17279411764705882</v>
      </c>
      <c r="AA7" s="14">
        <f t="shared" si="5"/>
        <v>0.17279411764705882</v>
      </c>
      <c r="AB7" s="27">
        <f>AB11/AB5</f>
        <v>0.23529411764705882</v>
      </c>
      <c r="AC7" s="14">
        <f t="shared" ref="AC7:AE7" si="6">AC11/AC5</f>
        <v>0.23529411764705882</v>
      </c>
      <c r="AD7" s="14">
        <f t="shared" si="6"/>
        <v>0.23529411764705882</v>
      </c>
      <c r="AE7" s="14">
        <f t="shared" si="6"/>
        <v>0.23529411764705882</v>
      </c>
      <c r="AF7" s="27">
        <v>0.33</v>
      </c>
      <c r="AG7" s="14">
        <v>0.42</v>
      </c>
      <c r="AH7" s="15">
        <v>0.25</v>
      </c>
      <c r="AI7" s="27">
        <f t="shared" ref="AI7:AO7" si="7">AI11/AI5</f>
        <v>8.3333333333333329E-2</v>
      </c>
      <c r="AJ7" s="14">
        <f t="shared" si="7"/>
        <v>8.3333333333333329E-2</v>
      </c>
      <c r="AK7" s="14">
        <f t="shared" si="7"/>
        <v>0.16666666666666666</v>
      </c>
      <c r="AL7" s="14">
        <f t="shared" si="7"/>
        <v>8.3333333333333329E-2</v>
      </c>
      <c r="AM7" s="14">
        <f t="shared" si="7"/>
        <v>0.16666666666666666</v>
      </c>
      <c r="AN7" s="14">
        <f t="shared" si="7"/>
        <v>0.16666666666666666</v>
      </c>
      <c r="AO7" s="14">
        <f t="shared" si="7"/>
        <v>8.3333333333333329E-2</v>
      </c>
      <c r="AP7" s="27">
        <f>AP11/AP5</f>
        <v>0.5</v>
      </c>
      <c r="AQ7" s="14">
        <f t="shared" ref="AQ7:AS7" si="8">AQ11/AQ5</f>
        <v>0.5</v>
      </c>
      <c r="AR7" s="27">
        <f>AR11/AR5</f>
        <v>0.25</v>
      </c>
      <c r="AS7" s="14">
        <f t="shared" si="8"/>
        <v>0.25</v>
      </c>
      <c r="AT7" s="27">
        <f>AT11/AT5</f>
        <v>0.5</v>
      </c>
      <c r="AU7" s="14">
        <f t="shared" ref="AU7" si="9">AU11/AU5</f>
        <v>0.5</v>
      </c>
      <c r="AV7" s="27">
        <f>AV11/AV5</f>
        <v>0.24</v>
      </c>
      <c r="AW7" s="14">
        <f t="shared" ref="AW7" si="10">AW11/AW5</f>
        <v>0.24</v>
      </c>
    </row>
    <row r="8" spans="2:49" x14ac:dyDescent="0.35">
      <c r="B8" s="4" t="s">
        <v>8</v>
      </c>
      <c r="D8" s="26">
        <v>1</v>
      </c>
      <c r="E8">
        <v>1</v>
      </c>
      <c r="F8">
        <v>1</v>
      </c>
      <c r="G8">
        <v>1</v>
      </c>
      <c r="H8" s="26">
        <v>1</v>
      </c>
      <c r="I8">
        <v>1</v>
      </c>
      <c r="J8">
        <v>1</v>
      </c>
      <c r="K8">
        <v>1</v>
      </c>
      <c r="L8" s="26">
        <v>1</v>
      </c>
      <c r="M8">
        <v>1</v>
      </c>
      <c r="N8">
        <v>1</v>
      </c>
      <c r="O8">
        <v>1</v>
      </c>
      <c r="P8" s="26">
        <v>1</v>
      </c>
      <c r="Q8">
        <v>1</v>
      </c>
      <c r="R8">
        <v>1</v>
      </c>
      <c r="S8">
        <v>1</v>
      </c>
      <c r="T8" s="26">
        <v>1</v>
      </c>
      <c r="U8">
        <v>1</v>
      </c>
      <c r="V8">
        <v>1</v>
      </c>
      <c r="W8">
        <v>1</v>
      </c>
      <c r="X8" s="26">
        <v>1</v>
      </c>
      <c r="Y8">
        <v>1</v>
      </c>
      <c r="Z8">
        <v>1</v>
      </c>
      <c r="AA8">
        <v>1</v>
      </c>
      <c r="AB8" s="26">
        <v>1</v>
      </c>
      <c r="AC8">
        <v>1</v>
      </c>
      <c r="AD8">
        <v>1</v>
      </c>
      <c r="AE8">
        <v>1</v>
      </c>
      <c r="AF8" s="28">
        <v>1</v>
      </c>
      <c r="AG8" s="1">
        <v>1</v>
      </c>
      <c r="AH8" s="11">
        <v>1</v>
      </c>
      <c r="AI8" s="28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26">
        <v>1</v>
      </c>
      <c r="AQ8">
        <v>1</v>
      </c>
      <c r="AR8" s="26">
        <v>1</v>
      </c>
      <c r="AS8">
        <v>1</v>
      </c>
      <c r="AT8" s="26">
        <v>1</v>
      </c>
      <c r="AU8">
        <v>1</v>
      </c>
      <c r="AV8" s="26">
        <v>1</v>
      </c>
      <c r="AW8">
        <v>1</v>
      </c>
    </row>
    <row r="9" spans="2:49" x14ac:dyDescent="0.35">
      <c r="B9" s="4" t="s">
        <v>9</v>
      </c>
      <c r="D9" s="26">
        <v>16</v>
      </c>
      <c r="E9">
        <v>16</v>
      </c>
      <c r="F9">
        <v>16</v>
      </c>
      <c r="G9">
        <v>16</v>
      </c>
      <c r="H9" s="26">
        <v>16</v>
      </c>
      <c r="I9">
        <v>16</v>
      </c>
      <c r="J9">
        <v>16</v>
      </c>
      <c r="K9">
        <v>16</v>
      </c>
      <c r="L9" s="26">
        <v>16</v>
      </c>
      <c r="M9">
        <v>16</v>
      </c>
      <c r="N9">
        <v>16</v>
      </c>
      <c r="O9">
        <v>16</v>
      </c>
      <c r="P9" s="26">
        <v>16</v>
      </c>
      <c r="Q9">
        <v>16</v>
      </c>
      <c r="R9">
        <v>16</v>
      </c>
      <c r="S9">
        <v>16</v>
      </c>
      <c r="T9" s="26">
        <v>16</v>
      </c>
      <c r="U9">
        <v>16</v>
      </c>
      <c r="V9">
        <v>16</v>
      </c>
      <c r="W9">
        <v>16</v>
      </c>
      <c r="X9" s="26">
        <v>16</v>
      </c>
      <c r="Y9">
        <v>16</v>
      </c>
      <c r="Z9">
        <v>16</v>
      </c>
      <c r="AA9">
        <v>16</v>
      </c>
      <c r="AB9" s="26">
        <v>16</v>
      </c>
      <c r="AC9">
        <v>16</v>
      </c>
      <c r="AD9">
        <v>16</v>
      </c>
      <c r="AE9">
        <v>16</v>
      </c>
      <c r="AF9" s="26">
        <v>16</v>
      </c>
      <c r="AG9">
        <v>16</v>
      </c>
      <c r="AH9" s="19">
        <v>16</v>
      </c>
      <c r="AI9" s="26">
        <v>16</v>
      </c>
      <c r="AJ9">
        <v>16</v>
      </c>
      <c r="AK9">
        <v>16</v>
      </c>
      <c r="AL9">
        <v>16</v>
      </c>
      <c r="AM9">
        <v>16</v>
      </c>
      <c r="AN9">
        <v>16</v>
      </c>
      <c r="AO9">
        <v>16</v>
      </c>
      <c r="AP9" s="26">
        <v>16</v>
      </c>
      <c r="AQ9">
        <v>16</v>
      </c>
      <c r="AR9" s="26">
        <v>16</v>
      </c>
      <c r="AS9">
        <v>16</v>
      </c>
      <c r="AT9" s="26">
        <v>16</v>
      </c>
      <c r="AU9">
        <v>16</v>
      </c>
      <c r="AV9" s="26">
        <v>16</v>
      </c>
      <c r="AW9">
        <v>16</v>
      </c>
    </row>
    <row r="10" spans="2:49" x14ac:dyDescent="0.35">
      <c r="B10" s="4" t="s">
        <v>10</v>
      </c>
      <c r="D10" s="26">
        <v>16</v>
      </c>
      <c r="E10">
        <v>16</v>
      </c>
      <c r="F10">
        <v>16</v>
      </c>
      <c r="G10">
        <v>16</v>
      </c>
      <c r="H10" s="26">
        <v>16</v>
      </c>
      <c r="I10">
        <v>16</v>
      </c>
      <c r="J10">
        <v>16</v>
      </c>
      <c r="K10">
        <v>16</v>
      </c>
      <c r="L10" s="26">
        <v>16</v>
      </c>
      <c r="M10">
        <v>16</v>
      </c>
      <c r="N10">
        <v>16</v>
      </c>
      <c r="O10">
        <v>16</v>
      </c>
      <c r="P10" s="26">
        <v>16</v>
      </c>
      <c r="Q10">
        <v>16</v>
      </c>
      <c r="R10">
        <v>16</v>
      </c>
      <c r="S10">
        <v>16</v>
      </c>
      <c r="T10" s="26">
        <v>16</v>
      </c>
      <c r="U10">
        <v>16</v>
      </c>
      <c r="V10">
        <v>16</v>
      </c>
      <c r="W10">
        <v>16</v>
      </c>
      <c r="X10" s="26">
        <v>16</v>
      </c>
      <c r="Y10">
        <v>16</v>
      </c>
      <c r="Z10">
        <v>16</v>
      </c>
      <c r="AA10">
        <v>16</v>
      </c>
      <c r="AB10" s="26">
        <v>16</v>
      </c>
      <c r="AC10">
        <v>16</v>
      </c>
      <c r="AD10">
        <v>16</v>
      </c>
      <c r="AE10">
        <v>16</v>
      </c>
      <c r="AF10" s="26">
        <v>16</v>
      </c>
      <c r="AG10">
        <v>4</v>
      </c>
      <c r="AH10" s="19">
        <v>2</v>
      </c>
      <c r="AI10" s="26">
        <v>16</v>
      </c>
      <c r="AJ10">
        <v>16</v>
      </c>
      <c r="AK10">
        <v>16</v>
      </c>
      <c r="AL10">
        <v>4</v>
      </c>
      <c r="AM10">
        <v>4</v>
      </c>
      <c r="AN10">
        <v>4</v>
      </c>
      <c r="AO10">
        <v>2</v>
      </c>
      <c r="AP10" s="26">
        <v>16</v>
      </c>
      <c r="AQ10">
        <v>16</v>
      </c>
      <c r="AR10" s="26">
        <v>16</v>
      </c>
      <c r="AS10">
        <v>16</v>
      </c>
      <c r="AT10" s="26">
        <v>16</v>
      </c>
      <c r="AU10">
        <v>16</v>
      </c>
      <c r="AV10" s="26">
        <v>16</v>
      </c>
      <c r="AW10">
        <v>16</v>
      </c>
    </row>
    <row r="11" spans="2:49" x14ac:dyDescent="0.35">
      <c r="B11" s="3" t="s">
        <v>11</v>
      </c>
      <c r="D11" s="28">
        <v>68</v>
      </c>
      <c r="E11" s="1">
        <v>68</v>
      </c>
      <c r="F11" s="1">
        <v>68</v>
      </c>
      <c r="G11" s="1">
        <v>68</v>
      </c>
      <c r="H11" s="28">
        <v>61</v>
      </c>
      <c r="I11" s="1">
        <v>61</v>
      </c>
      <c r="J11" s="1">
        <v>61</v>
      </c>
      <c r="K11" s="1">
        <v>61</v>
      </c>
      <c r="L11" s="28">
        <v>58</v>
      </c>
      <c r="M11" s="1">
        <v>58</v>
      </c>
      <c r="N11" s="1">
        <v>58</v>
      </c>
      <c r="O11" s="1">
        <v>58</v>
      </c>
      <c r="P11" s="28">
        <v>54</v>
      </c>
      <c r="Q11" s="1">
        <v>54</v>
      </c>
      <c r="R11" s="1">
        <v>54</v>
      </c>
      <c r="S11" s="1">
        <v>54</v>
      </c>
      <c r="T11" s="28">
        <v>51</v>
      </c>
      <c r="U11" s="1">
        <v>51</v>
      </c>
      <c r="V11" s="1">
        <v>51</v>
      </c>
      <c r="W11" s="1">
        <v>51</v>
      </c>
      <c r="X11" s="28">
        <v>47</v>
      </c>
      <c r="Y11" s="1">
        <v>47</v>
      </c>
      <c r="Z11" s="1">
        <v>47</v>
      </c>
      <c r="AA11" s="1">
        <v>47</v>
      </c>
      <c r="AB11" s="28">
        <v>64</v>
      </c>
      <c r="AC11" s="1">
        <v>64</v>
      </c>
      <c r="AD11" s="1">
        <v>64</v>
      </c>
      <c r="AE11" s="1">
        <v>64</v>
      </c>
      <c r="AF11" s="26">
        <v>32</v>
      </c>
      <c r="AG11">
        <v>40</v>
      </c>
      <c r="AH11" s="19">
        <v>24</v>
      </c>
      <c r="AI11" s="26">
        <v>8</v>
      </c>
      <c r="AJ11">
        <v>8</v>
      </c>
      <c r="AK11">
        <v>16</v>
      </c>
      <c r="AL11">
        <v>8</v>
      </c>
      <c r="AM11">
        <v>16</v>
      </c>
      <c r="AN11">
        <v>16</v>
      </c>
      <c r="AO11">
        <v>8</v>
      </c>
      <c r="AP11" s="28">
        <v>136</v>
      </c>
      <c r="AQ11" s="1">
        <v>136</v>
      </c>
      <c r="AR11" s="28">
        <v>68</v>
      </c>
      <c r="AS11" s="1">
        <v>68</v>
      </c>
      <c r="AT11" s="28">
        <v>25</v>
      </c>
      <c r="AU11" s="1">
        <v>25</v>
      </c>
      <c r="AV11" s="28">
        <v>12</v>
      </c>
      <c r="AW11" s="1">
        <v>12</v>
      </c>
    </row>
    <row r="12" spans="2:49" x14ac:dyDescent="0.35">
      <c r="B12" s="3" t="s">
        <v>12</v>
      </c>
      <c r="D12" s="28">
        <v>13</v>
      </c>
      <c r="E12" s="1">
        <v>13</v>
      </c>
      <c r="F12" s="1">
        <v>13</v>
      </c>
      <c r="G12" s="1">
        <v>13</v>
      </c>
      <c r="H12" s="28">
        <v>13</v>
      </c>
      <c r="I12" s="1">
        <v>13</v>
      </c>
      <c r="J12" s="1">
        <v>13</v>
      </c>
      <c r="K12" s="1">
        <v>13</v>
      </c>
      <c r="L12" s="28">
        <v>13</v>
      </c>
      <c r="M12" s="1">
        <v>13</v>
      </c>
      <c r="N12" s="1">
        <v>13</v>
      </c>
      <c r="O12" s="1">
        <v>13</v>
      </c>
      <c r="P12" s="28">
        <v>13</v>
      </c>
      <c r="Q12" s="1">
        <v>13</v>
      </c>
      <c r="R12" s="1">
        <v>13</v>
      </c>
      <c r="S12" s="1">
        <v>13</v>
      </c>
      <c r="T12" s="28">
        <v>13</v>
      </c>
      <c r="U12" s="1">
        <v>13</v>
      </c>
      <c r="V12" s="1">
        <v>13</v>
      </c>
      <c r="W12" s="1">
        <v>13</v>
      </c>
      <c r="X12" s="28">
        <v>13</v>
      </c>
      <c r="Y12" s="1">
        <v>13</v>
      </c>
      <c r="Z12" s="1">
        <v>13</v>
      </c>
      <c r="AA12" s="1">
        <v>13</v>
      </c>
      <c r="AB12" s="28">
        <v>13</v>
      </c>
      <c r="AC12" s="1">
        <v>13</v>
      </c>
      <c r="AD12" s="1">
        <v>13</v>
      </c>
      <c r="AE12" s="1">
        <v>13</v>
      </c>
      <c r="AF12" s="26">
        <v>13</v>
      </c>
      <c r="AG12">
        <v>13</v>
      </c>
      <c r="AH12" s="19">
        <v>13</v>
      </c>
      <c r="AI12" s="26">
        <v>13</v>
      </c>
      <c r="AJ12">
        <v>13</v>
      </c>
      <c r="AK12">
        <v>13</v>
      </c>
      <c r="AL12">
        <v>13</v>
      </c>
      <c r="AM12">
        <v>13</v>
      </c>
      <c r="AN12">
        <v>13</v>
      </c>
      <c r="AO12">
        <v>13</v>
      </c>
      <c r="AP12" s="28">
        <v>13</v>
      </c>
      <c r="AQ12" s="1">
        <v>13</v>
      </c>
      <c r="AR12" s="28">
        <v>13</v>
      </c>
      <c r="AS12" s="1">
        <v>13</v>
      </c>
      <c r="AT12" s="28">
        <v>12</v>
      </c>
      <c r="AU12" s="1">
        <v>12</v>
      </c>
      <c r="AV12" s="28">
        <v>12</v>
      </c>
      <c r="AW12" s="1">
        <v>12</v>
      </c>
    </row>
    <row r="13" spans="2:49" x14ac:dyDescent="0.35">
      <c r="B13" s="3" t="s">
        <v>13</v>
      </c>
      <c r="C13" s="1"/>
      <c r="D13" s="28">
        <v>2</v>
      </c>
      <c r="E13" s="1">
        <v>2</v>
      </c>
      <c r="F13" s="1">
        <v>2</v>
      </c>
      <c r="G13" s="1">
        <v>2</v>
      </c>
      <c r="H13" s="28">
        <v>2</v>
      </c>
      <c r="I13" s="1">
        <v>2</v>
      </c>
      <c r="J13" s="1">
        <v>2</v>
      </c>
      <c r="K13" s="1">
        <v>2</v>
      </c>
      <c r="L13" s="28">
        <v>2</v>
      </c>
      <c r="M13" s="1">
        <v>2</v>
      </c>
      <c r="N13" s="1">
        <v>2</v>
      </c>
      <c r="O13" s="1">
        <v>2</v>
      </c>
      <c r="P13" s="28">
        <v>2</v>
      </c>
      <c r="Q13" s="1">
        <v>2</v>
      </c>
      <c r="R13" s="1">
        <v>2</v>
      </c>
      <c r="S13" s="1">
        <v>2</v>
      </c>
      <c r="T13" s="28">
        <v>2</v>
      </c>
      <c r="U13" s="1">
        <v>2</v>
      </c>
      <c r="V13" s="1">
        <v>2</v>
      </c>
      <c r="W13" s="1">
        <v>2</v>
      </c>
      <c r="X13" s="28">
        <v>2</v>
      </c>
      <c r="Y13" s="1">
        <v>2</v>
      </c>
      <c r="Z13" s="1">
        <v>2</v>
      </c>
      <c r="AA13" s="1">
        <v>2</v>
      </c>
      <c r="AB13" s="28">
        <v>2</v>
      </c>
      <c r="AC13" s="1">
        <v>2</v>
      </c>
      <c r="AD13" s="1">
        <v>2</v>
      </c>
      <c r="AE13" s="1">
        <v>2</v>
      </c>
      <c r="AF13" s="26">
        <v>2</v>
      </c>
      <c r="AG13">
        <v>2</v>
      </c>
      <c r="AH13" s="19">
        <v>2</v>
      </c>
      <c r="AI13" s="26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 s="28">
        <v>2</v>
      </c>
      <c r="AQ13" s="1">
        <v>2</v>
      </c>
      <c r="AR13" s="28">
        <v>2</v>
      </c>
      <c r="AS13" s="1">
        <v>2</v>
      </c>
      <c r="AT13" s="28">
        <v>2</v>
      </c>
      <c r="AU13" s="1">
        <v>2</v>
      </c>
      <c r="AV13" s="28">
        <v>2</v>
      </c>
      <c r="AW13" s="1">
        <v>2</v>
      </c>
    </row>
    <row r="14" spans="2:49" x14ac:dyDescent="0.35">
      <c r="B14" s="5" t="s">
        <v>14</v>
      </c>
      <c r="C14" s="1"/>
      <c r="D14" s="28">
        <v>2</v>
      </c>
      <c r="E14" s="1">
        <v>2</v>
      </c>
      <c r="F14" s="1">
        <v>2</v>
      </c>
      <c r="G14" s="1">
        <v>2</v>
      </c>
      <c r="H14" s="28">
        <v>2</v>
      </c>
      <c r="I14" s="1">
        <v>2</v>
      </c>
      <c r="J14" s="1">
        <v>2</v>
      </c>
      <c r="K14" s="1">
        <v>2</v>
      </c>
      <c r="L14" s="28">
        <v>2</v>
      </c>
      <c r="M14" s="1">
        <v>2</v>
      </c>
      <c r="N14" s="1">
        <v>2</v>
      </c>
      <c r="O14" s="1">
        <v>2</v>
      </c>
      <c r="P14" s="28">
        <v>2</v>
      </c>
      <c r="Q14" s="1">
        <v>2</v>
      </c>
      <c r="R14" s="1">
        <v>2</v>
      </c>
      <c r="S14" s="1">
        <v>2</v>
      </c>
      <c r="T14" s="28">
        <v>2</v>
      </c>
      <c r="U14" s="1">
        <v>2</v>
      </c>
      <c r="V14" s="1">
        <v>2</v>
      </c>
      <c r="W14" s="1">
        <v>2</v>
      </c>
      <c r="X14" s="28">
        <v>2</v>
      </c>
      <c r="Y14" s="1">
        <v>2</v>
      </c>
      <c r="Z14" s="1">
        <v>2</v>
      </c>
      <c r="AA14" s="1">
        <v>2</v>
      </c>
      <c r="AB14" s="28">
        <v>2</v>
      </c>
      <c r="AC14" s="1">
        <v>2</v>
      </c>
      <c r="AD14" s="1">
        <v>2</v>
      </c>
      <c r="AE14" s="1">
        <v>2</v>
      </c>
      <c r="AF14" s="26">
        <v>2</v>
      </c>
      <c r="AG14">
        <v>2</v>
      </c>
      <c r="AH14" s="19">
        <v>2</v>
      </c>
      <c r="AI14" s="26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 s="28">
        <v>2</v>
      </c>
      <c r="AQ14" s="1">
        <v>2</v>
      </c>
      <c r="AR14" s="28">
        <v>2</v>
      </c>
      <c r="AS14" s="1">
        <v>2</v>
      </c>
      <c r="AT14" s="28">
        <v>2</v>
      </c>
      <c r="AU14" s="1">
        <v>2</v>
      </c>
      <c r="AV14" s="28">
        <v>2</v>
      </c>
      <c r="AW14" s="1">
        <v>2</v>
      </c>
    </row>
    <row r="15" spans="2:49" x14ac:dyDescent="0.35">
      <c r="B15" s="5" t="s">
        <v>15</v>
      </c>
      <c r="D15" s="28">
        <v>0</v>
      </c>
      <c r="E15" s="1">
        <v>0</v>
      </c>
      <c r="F15" s="1">
        <v>0</v>
      </c>
      <c r="G15" s="1">
        <v>0</v>
      </c>
      <c r="H15" s="28">
        <v>0</v>
      </c>
      <c r="I15" s="1">
        <v>0</v>
      </c>
      <c r="J15" s="1">
        <v>0</v>
      </c>
      <c r="K15" s="1">
        <v>0</v>
      </c>
      <c r="L15" s="28">
        <v>0</v>
      </c>
      <c r="M15" s="1">
        <v>0</v>
      </c>
      <c r="N15" s="1">
        <v>0</v>
      </c>
      <c r="O15" s="1">
        <v>0</v>
      </c>
      <c r="P15" s="28">
        <v>0</v>
      </c>
      <c r="Q15" s="1">
        <v>0</v>
      </c>
      <c r="R15" s="1">
        <v>0</v>
      </c>
      <c r="S15" s="1">
        <v>0</v>
      </c>
      <c r="T15" s="28">
        <v>0</v>
      </c>
      <c r="U15" s="1">
        <v>0</v>
      </c>
      <c r="V15" s="1">
        <v>0</v>
      </c>
      <c r="W15" s="1">
        <v>0</v>
      </c>
      <c r="X15" s="28">
        <v>0</v>
      </c>
      <c r="Y15" s="1">
        <v>0</v>
      </c>
      <c r="Z15" s="1">
        <v>0</v>
      </c>
      <c r="AA15" s="1">
        <v>0</v>
      </c>
      <c r="AB15" s="28">
        <v>0</v>
      </c>
      <c r="AC15" s="1">
        <v>0</v>
      </c>
      <c r="AD15" s="1">
        <v>0</v>
      </c>
      <c r="AE15" s="1">
        <v>0</v>
      </c>
      <c r="AF15" s="26">
        <v>0</v>
      </c>
      <c r="AG15">
        <v>0</v>
      </c>
      <c r="AH15" s="19">
        <v>0</v>
      </c>
      <c r="AI15" s="26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 s="28">
        <v>0</v>
      </c>
      <c r="AQ15" s="1">
        <v>0</v>
      </c>
      <c r="AR15" s="28">
        <v>0</v>
      </c>
      <c r="AS15" s="1">
        <v>0</v>
      </c>
      <c r="AT15" s="28">
        <v>0</v>
      </c>
      <c r="AU15" s="1">
        <v>0</v>
      </c>
      <c r="AV15" s="28">
        <v>0</v>
      </c>
      <c r="AW15" s="1">
        <v>0</v>
      </c>
    </row>
    <row r="16" spans="2:49" x14ac:dyDescent="0.35">
      <c r="B16" s="3" t="s">
        <v>16</v>
      </c>
      <c r="D16" s="28">
        <v>2</v>
      </c>
      <c r="E16" s="1">
        <v>2</v>
      </c>
      <c r="F16" s="1">
        <v>2</v>
      </c>
      <c r="G16" s="1">
        <v>2</v>
      </c>
      <c r="H16" s="28">
        <v>2</v>
      </c>
      <c r="I16" s="1">
        <v>2</v>
      </c>
      <c r="J16" s="1">
        <v>2</v>
      </c>
      <c r="K16" s="1">
        <v>2</v>
      </c>
      <c r="L16" s="28">
        <v>2</v>
      </c>
      <c r="M16" s="1">
        <v>2</v>
      </c>
      <c r="N16" s="1">
        <v>2</v>
      </c>
      <c r="O16" s="1">
        <v>2</v>
      </c>
      <c r="P16" s="28">
        <v>2</v>
      </c>
      <c r="Q16" s="1">
        <v>2</v>
      </c>
      <c r="R16" s="1">
        <v>2</v>
      </c>
      <c r="S16" s="1">
        <v>2</v>
      </c>
      <c r="T16" s="28">
        <v>2</v>
      </c>
      <c r="U16" s="1">
        <v>2</v>
      </c>
      <c r="V16" s="1">
        <v>2</v>
      </c>
      <c r="W16" s="1">
        <v>2</v>
      </c>
      <c r="X16" s="28">
        <v>2</v>
      </c>
      <c r="Y16" s="1">
        <v>2</v>
      </c>
      <c r="Z16" s="1">
        <v>2</v>
      </c>
      <c r="AA16" s="1">
        <v>2</v>
      </c>
      <c r="AB16" s="28">
        <v>2</v>
      </c>
      <c r="AC16" s="1">
        <v>2</v>
      </c>
      <c r="AD16" s="1">
        <v>2</v>
      </c>
      <c r="AE16" s="1">
        <v>2</v>
      </c>
      <c r="AF16" s="26">
        <v>2</v>
      </c>
      <c r="AG16">
        <v>2</v>
      </c>
      <c r="AH16" s="19">
        <v>2</v>
      </c>
      <c r="AI16" s="2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 s="28">
        <v>2</v>
      </c>
      <c r="AQ16" s="1">
        <v>2</v>
      </c>
      <c r="AR16" s="28">
        <v>2</v>
      </c>
      <c r="AS16" s="1">
        <v>2</v>
      </c>
      <c r="AT16" s="28">
        <v>2</v>
      </c>
      <c r="AU16" s="1">
        <v>2</v>
      </c>
      <c r="AV16" s="28">
        <v>2</v>
      </c>
      <c r="AW16" s="1">
        <v>2</v>
      </c>
    </row>
    <row r="17" spans="2:49" x14ac:dyDescent="0.35">
      <c r="B17" s="3" t="s">
        <v>17</v>
      </c>
      <c r="D17" s="28">
        <v>27</v>
      </c>
      <c r="E17" s="1">
        <v>27</v>
      </c>
      <c r="F17" s="1">
        <v>27</v>
      </c>
      <c r="G17" s="1">
        <v>27</v>
      </c>
      <c r="H17" s="28">
        <v>27</v>
      </c>
      <c r="I17" s="1">
        <v>27</v>
      </c>
      <c r="J17" s="1">
        <v>27</v>
      </c>
      <c r="K17" s="1">
        <v>27</v>
      </c>
      <c r="L17" s="28">
        <v>27</v>
      </c>
      <c r="M17" s="1">
        <v>27</v>
      </c>
      <c r="N17" s="1">
        <v>27</v>
      </c>
      <c r="O17" s="1">
        <v>27</v>
      </c>
      <c r="P17" s="28">
        <v>27</v>
      </c>
      <c r="Q17" s="1">
        <v>27</v>
      </c>
      <c r="R17" s="1">
        <v>27</v>
      </c>
      <c r="S17" s="1">
        <v>27</v>
      </c>
      <c r="T17" s="28">
        <v>27</v>
      </c>
      <c r="U17" s="1">
        <v>27</v>
      </c>
      <c r="V17" s="1">
        <v>27</v>
      </c>
      <c r="W17" s="1">
        <v>27</v>
      </c>
      <c r="X17" s="28">
        <v>27</v>
      </c>
      <c r="Y17" s="1">
        <v>27</v>
      </c>
      <c r="Z17" s="1">
        <v>27</v>
      </c>
      <c r="AA17" s="1">
        <v>27</v>
      </c>
      <c r="AB17" s="28">
        <v>27</v>
      </c>
      <c r="AC17" s="1">
        <v>27</v>
      </c>
      <c r="AD17" s="1">
        <v>27</v>
      </c>
      <c r="AE17" s="1">
        <v>27</v>
      </c>
      <c r="AF17" s="26">
        <v>24</v>
      </c>
      <c r="AG17">
        <v>13</v>
      </c>
      <c r="AH17" s="19">
        <v>7</v>
      </c>
      <c r="AI17" s="26">
        <v>24</v>
      </c>
      <c r="AJ17">
        <v>24</v>
      </c>
      <c r="AK17">
        <v>24</v>
      </c>
      <c r="AL17">
        <v>13</v>
      </c>
      <c r="AM17">
        <v>13</v>
      </c>
      <c r="AN17">
        <v>13</v>
      </c>
      <c r="AO17">
        <v>7</v>
      </c>
      <c r="AP17" s="28">
        <v>27</v>
      </c>
      <c r="AQ17" s="1">
        <v>27</v>
      </c>
      <c r="AR17" s="28">
        <v>27</v>
      </c>
      <c r="AS17" s="1">
        <v>27</v>
      </c>
      <c r="AT17" s="28">
        <v>27</v>
      </c>
      <c r="AU17" s="1">
        <v>27</v>
      </c>
      <c r="AV17" s="28">
        <v>27</v>
      </c>
      <c r="AW17" s="1">
        <v>27</v>
      </c>
    </row>
    <row r="18" spans="2:49" x14ac:dyDescent="0.35">
      <c r="B18" s="3" t="s">
        <v>18</v>
      </c>
      <c r="D18" s="28">
        <v>4</v>
      </c>
      <c r="E18" s="1">
        <v>4</v>
      </c>
      <c r="F18" s="1">
        <v>4</v>
      </c>
      <c r="G18" s="1">
        <v>4</v>
      </c>
      <c r="H18" s="28">
        <v>4</v>
      </c>
      <c r="I18" s="1">
        <v>4</v>
      </c>
      <c r="J18" s="1">
        <v>4</v>
      </c>
      <c r="K18" s="1">
        <v>4</v>
      </c>
      <c r="L18" s="28">
        <v>4</v>
      </c>
      <c r="M18" s="1">
        <v>4</v>
      </c>
      <c r="N18" s="1">
        <v>4</v>
      </c>
      <c r="O18" s="1">
        <v>4</v>
      </c>
      <c r="P18" s="28">
        <v>4</v>
      </c>
      <c r="Q18" s="1">
        <v>4</v>
      </c>
      <c r="R18" s="1">
        <v>4</v>
      </c>
      <c r="S18" s="1">
        <v>4</v>
      </c>
      <c r="T18" s="28">
        <v>4</v>
      </c>
      <c r="U18" s="1">
        <v>4</v>
      </c>
      <c r="V18" s="1">
        <v>4</v>
      </c>
      <c r="W18" s="1">
        <v>4</v>
      </c>
      <c r="X18" s="28">
        <v>4</v>
      </c>
      <c r="Y18" s="1">
        <v>4</v>
      </c>
      <c r="Z18" s="1">
        <v>4</v>
      </c>
      <c r="AA18" s="1">
        <v>4</v>
      </c>
      <c r="AB18" s="28">
        <v>4</v>
      </c>
      <c r="AC18" s="1">
        <v>4</v>
      </c>
      <c r="AD18" s="1">
        <v>4</v>
      </c>
      <c r="AE18" s="1">
        <v>4</v>
      </c>
      <c r="AF18" s="26">
        <v>4</v>
      </c>
      <c r="AG18">
        <v>2</v>
      </c>
      <c r="AH18" s="19">
        <v>2</v>
      </c>
      <c r="AI18" s="26">
        <v>4</v>
      </c>
      <c r="AJ18">
        <v>4</v>
      </c>
      <c r="AK18">
        <v>4</v>
      </c>
      <c r="AL18">
        <v>2</v>
      </c>
      <c r="AM18">
        <v>2</v>
      </c>
      <c r="AN18">
        <v>2</v>
      </c>
      <c r="AO18">
        <v>2</v>
      </c>
      <c r="AP18" s="28">
        <v>4</v>
      </c>
      <c r="AQ18" s="1">
        <v>4</v>
      </c>
      <c r="AR18" s="28">
        <v>4</v>
      </c>
      <c r="AS18" s="1">
        <v>4</v>
      </c>
      <c r="AT18" s="28">
        <v>4</v>
      </c>
      <c r="AU18" s="1">
        <v>4</v>
      </c>
      <c r="AV18" s="28">
        <v>4</v>
      </c>
      <c r="AW18" s="1">
        <v>4</v>
      </c>
    </row>
    <row r="19" spans="2:49" x14ac:dyDescent="0.35">
      <c r="B19" s="3" t="s">
        <v>19</v>
      </c>
      <c r="D19" s="28">
        <v>4</v>
      </c>
      <c r="E19" s="1">
        <v>4</v>
      </c>
      <c r="F19" s="1">
        <v>4</v>
      </c>
      <c r="G19" s="1">
        <v>4</v>
      </c>
      <c r="H19" s="28">
        <v>4</v>
      </c>
      <c r="I19" s="1">
        <v>4</v>
      </c>
      <c r="J19" s="1">
        <v>4</v>
      </c>
      <c r="K19" s="1">
        <v>4</v>
      </c>
      <c r="L19" s="28">
        <v>4</v>
      </c>
      <c r="M19" s="1">
        <v>4</v>
      </c>
      <c r="N19" s="1">
        <v>4</v>
      </c>
      <c r="O19" s="1">
        <v>4</v>
      </c>
      <c r="P19" s="28">
        <v>4</v>
      </c>
      <c r="Q19" s="1">
        <v>4</v>
      </c>
      <c r="R19" s="1">
        <v>4</v>
      </c>
      <c r="S19" s="1">
        <v>4</v>
      </c>
      <c r="T19" s="28">
        <v>4</v>
      </c>
      <c r="U19" s="1">
        <v>4</v>
      </c>
      <c r="V19" s="1">
        <v>4</v>
      </c>
      <c r="W19" s="1">
        <v>4</v>
      </c>
      <c r="X19" s="28">
        <v>4</v>
      </c>
      <c r="Y19" s="1">
        <v>4</v>
      </c>
      <c r="Z19" s="1">
        <v>4</v>
      </c>
      <c r="AA19" s="1">
        <v>4</v>
      </c>
      <c r="AB19" s="28">
        <v>4</v>
      </c>
      <c r="AC19" s="1">
        <v>4</v>
      </c>
      <c r="AD19" s="1">
        <v>4</v>
      </c>
      <c r="AE19" s="1">
        <v>4</v>
      </c>
      <c r="AF19" s="26">
        <v>4</v>
      </c>
      <c r="AG19">
        <v>2</v>
      </c>
      <c r="AH19" s="19">
        <v>1</v>
      </c>
      <c r="AI19" s="26">
        <v>4</v>
      </c>
      <c r="AJ19">
        <v>4</v>
      </c>
      <c r="AK19">
        <v>4</v>
      </c>
      <c r="AL19">
        <v>2</v>
      </c>
      <c r="AM19">
        <v>2</v>
      </c>
      <c r="AN19">
        <v>2</v>
      </c>
      <c r="AO19">
        <v>1</v>
      </c>
      <c r="AP19" s="28">
        <v>4</v>
      </c>
      <c r="AQ19" s="1">
        <v>4</v>
      </c>
      <c r="AR19" s="28">
        <v>4</v>
      </c>
      <c r="AS19" s="1">
        <v>4</v>
      </c>
      <c r="AT19" s="28">
        <v>4</v>
      </c>
      <c r="AU19" s="1">
        <v>4</v>
      </c>
      <c r="AV19" s="28">
        <v>4</v>
      </c>
      <c r="AW19" s="1">
        <v>4</v>
      </c>
    </row>
    <row r="20" spans="2:49" x14ac:dyDescent="0.35">
      <c r="B20" s="3" t="s">
        <v>20</v>
      </c>
      <c r="D20" s="28" t="s">
        <v>44</v>
      </c>
      <c r="E20" s="1" t="s">
        <v>44</v>
      </c>
      <c r="F20" s="1" t="s">
        <v>44</v>
      </c>
      <c r="G20" s="1" t="s">
        <v>44</v>
      </c>
      <c r="H20" s="28" t="s">
        <v>44</v>
      </c>
      <c r="I20" s="1" t="s">
        <v>44</v>
      </c>
      <c r="J20" s="1" t="s">
        <v>44</v>
      </c>
      <c r="K20" s="1" t="s">
        <v>44</v>
      </c>
      <c r="L20" s="28" t="s">
        <v>44</v>
      </c>
      <c r="M20" s="1" t="s">
        <v>44</v>
      </c>
      <c r="N20" s="1" t="s">
        <v>44</v>
      </c>
      <c r="O20" s="1" t="s">
        <v>44</v>
      </c>
      <c r="P20" s="28" t="s">
        <v>44</v>
      </c>
      <c r="Q20" s="1" t="s">
        <v>44</v>
      </c>
      <c r="R20" s="1" t="s">
        <v>44</v>
      </c>
      <c r="S20" s="1" t="s">
        <v>44</v>
      </c>
      <c r="T20" s="28" t="s">
        <v>44</v>
      </c>
      <c r="U20" s="1" t="s">
        <v>44</v>
      </c>
      <c r="V20" s="1" t="s">
        <v>44</v>
      </c>
      <c r="W20" s="1" t="s">
        <v>44</v>
      </c>
      <c r="X20" s="28" t="s">
        <v>44</v>
      </c>
      <c r="Y20" s="1" t="s">
        <v>44</v>
      </c>
      <c r="Z20" s="1" t="s">
        <v>44</v>
      </c>
      <c r="AA20" s="1" t="s">
        <v>44</v>
      </c>
      <c r="AB20" s="28" t="s">
        <v>44</v>
      </c>
      <c r="AC20" s="1" t="s">
        <v>44</v>
      </c>
      <c r="AD20" s="1" t="s">
        <v>44</v>
      </c>
      <c r="AE20" s="1" t="s">
        <v>44</v>
      </c>
      <c r="AF20" s="28" t="s">
        <v>44</v>
      </c>
      <c r="AG20" s="1" t="s">
        <v>44</v>
      </c>
      <c r="AH20" s="11" t="s">
        <v>44</v>
      </c>
      <c r="AI20" s="28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28" t="s">
        <v>44</v>
      </c>
      <c r="AQ20" s="1" t="s">
        <v>44</v>
      </c>
      <c r="AR20" s="28" t="s">
        <v>44</v>
      </c>
      <c r="AS20" s="1" t="s">
        <v>44</v>
      </c>
      <c r="AT20" s="28" t="s">
        <v>44</v>
      </c>
      <c r="AU20" s="1" t="s">
        <v>44</v>
      </c>
      <c r="AV20" s="28" t="s">
        <v>44</v>
      </c>
      <c r="AW20" s="1" t="s">
        <v>44</v>
      </c>
    </row>
    <row r="21" spans="2:49" x14ac:dyDescent="0.35">
      <c r="B21" s="6" t="s">
        <v>22</v>
      </c>
      <c r="D21" s="29"/>
      <c r="E21" s="17"/>
      <c r="F21" s="17"/>
      <c r="G21" s="17"/>
      <c r="H21" s="29"/>
      <c r="I21" s="17"/>
      <c r="J21" s="17"/>
      <c r="K21" s="17"/>
      <c r="L21" s="29"/>
      <c r="M21" s="17"/>
      <c r="N21" s="17"/>
      <c r="O21" s="17"/>
      <c r="P21" s="29"/>
      <c r="Q21" s="17"/>
      <c r="R21" s="17"/>
      <c r="S21" s="17"/>
      <c r="T21" s="29"/>
      <c r="U21" s="17"/>
      <c r="V21" s="17"/>
      <c r="W21" s="17"/>
      <c r="X21" s="29"/>
      <c r="Y21" s="17"/>
      <c r="Z21" s="17"/>
      <c r="AA21" s="17"/>
      <c r="AB21" s="29"/>
      <c r="AC21" s="17"/>
      <c r="AD21" s="17"/>
      <c r="AE21" s="17"/>
      <c r="AF21" s="29"/>
      <c r="AG21" s="17"/>
      <c r="AH21" s="16"/>
      <c r="AI21" s="29"/>
      <c r="AJ21" s="17"/>
      <c r="AK21" s="17"/>
      <c r="AL21" s="17"/>
      <c r="AM21" s="17"/>
      <c r="AN21" s="17"/>
      <c r="AO21" s="17"/>
      <c r="AP21" s="29"/>
      <c r="AQ21" s="17"/>
      <c r="AR21" s="29"/>
      <c r="AS21" s="17"/>
      <c r="AT21" s="29"/>
      <c r="AU21" s="17"/>
      <c r="AV21" s="29"/>
      <c r="AW21" s="17"/>
    </row>
    <row r="22" spans="2:49" x14ac:dyDescent="0.35">
      <c r="B22" s="7" t="s">
        <v>23</v>
      </c>
      <c r="D22" s="28" t="s">
        <v>24</v>
      </c>
      <c r="E22" s="1" t="s">
        <v>24</v>
      </c>
      <c r="F22" s="1" t="s">
        <v>24</v>
      </c>
      <c r="G22" s="1" t="s">
        <v>24</v>
      </c>
      <c r="H22" s="28" t="s">
        <v>24</v>
      </c>
      <c r="I22" s="1" t="s">
        <v>24</v>
      </c>
      <c r="J22" s="1" t="s">
        <v>24</v>
      </c>
      <c r="K22" s="1" t="s">
        <v>24</v>
      </c>
      <c r="L22" s="28" t="s">
        <v>24</v>
      </c>
      <c r="M22" s="1" t="s">
        <v>24</v>
      </c>
      <c r="N22" s="1" t="s">
        <v>24</v>
      </c>
      <c r="O22" s="1" t="s">
        <v>24</v>
      </c>
      <c r="P22" s="28" t="s">
        <v>24</v>
      </c>
      <c r="Q22" s="1" t="s">
        <v>24</v>
      </c>
      <c r="R22" s="1" t="s">
        <v>24</v>
      </c>
      <c r="S22" s="1" t="s">
        <v>24</v>
      </c>
      <c r="T22" s="28" t="s">
        <v>24</v>
      </c>
      <c r="U22" s="1" t="s">
        <v>24</v>
      </c>
      <c r="V22" s="1" t="s">
        <v>24</v>
      </c>
      <c r="W22" s="1" t="s">
        <v>24</v>
      </c>
      <c r="X22" s="28" t="s">
        <v>24</v>
      </c>
      <c r="Y22" s="1" t="s">
        <v>24</v>
      </c>
      <c r="Z22" s="1" t="s">
        <v>24</v>
      </c>
      <c r="AA22" s="1" t="s">
        <v>24</v>
      </c>
      <c r="AB22" s="28" t="s">
        <v>24</v>
      </c>
      <c r="AC22" s="1" t="s">
        <v>24</v>
      </c>
      <c r="AD22" s="1" t="s">
        <v>24</v>
      </c>
      <c r="AE22" s="1" t="s">
        <v>24</v>
      </c>
      <c r="AF22" s="28" t="s">
        <v>24</v>
      </c>
      <c r="AG22" s="1" t="s">
        <v>24</v>
      </c>
      <c r="AH22" s="11" t="s">
        <v>24</v>
      </c>
      <c r="AI22" s="28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28" t="s">
        <v>24</v>
      </c>
      <c r="AQ22" s="1" t="s">
        <v>24</v>
      </c>
      <c r="AR22" s="28" t="s">
        <v>24</v>
      </c>
      <c r="AS22" s="1" t="s">
        <v>24</v>
      </c>
      <c r="AT22" s="28" t="s">
        <v>24</v>
      </c>
      <c r="AU22" s="1" t="s">
        <v>24</v>
      </c>
      <c r="AV22" s="28" t="s">
        <v>24</v>
      </c>
      <c r="AW22" s="1" t="s">
        <v>24</v>
      </c>
    </row>
    <row r="23" spans="2:49" x14ac:dyDescent="0.35">
      <c r="B23" s="7" t="s">
        <v>25</v>
      </c>
      <c r="D23" s="28">
        <v>0</v>
      </c>
      <c r="E23" s="1">
        <v>0</v>
      </c>
      <c r="F23" s="1">
        <v>0</v>
      </c>
      <c r="G23" s="1">
        <v>0</v>
      </c>
      <c r="H23" s="28">
        <v>0</v>
      </c>
      <c r="I23" s="1">
        <v>0</v>
      </c>
      <c r="J23" s="1">
        <v>0</v>
      </c>
      <c r="K23" s="1">
        <v>0</v>
      </c>
      <c r="L23" s="28">
        <v>0</v>
      </c>
      <c r="M23" s="1">
        <v>0</v>
      </c>
      <c r="N23" s="1">
        <v>0</v>
      </c>
      <c r="O23" s="1">
        <v>0</v>
      </c>
      <c r="P23" s="28">
        <v>0</v>
      </c>
      <c r="Q23" s="1">
        <v>0</v>
      </c>
      <c r="R23" s="1">
        <v>0</v>
      </c>
      <c r="S23" s="1">
        <v>0</v>
      </c>
      <c r="T23" s="28">
        <v>0</v>
      </c>
      <c r="U23" s="1">
        <v>0</v>
      </c>
      <c r="V23" s="1">
        <v>0</v>
      </c>
      <c r="W23" s="1">
        <v>0</v>
      </c>
      <c r="X23" s="28">
        <v>0</v>
      </c>
      <c r="Y23" s="1">
        <v>0</v>
      </c>
      <c r="Z23" s="1">
        <v>0</v>
      </c>
      <c r="AA23" s="1">
        <v>0</v>
      </c>
      <c r="AB23" s="28">
        <v>0</v>
      </c>
      <c r="AC23" s="1">
        <v>0</v>
      </c>
      <c r="AD23" s="1">
        <v>0</v>
      </c>
      <c r="AE23" s="1">
        <v>0</v>
      </c>
      <c r="AF23" s="28">
        <v>0</v>
      </c>
      <c r="AG23" s="1">
        <v>0</v>
      </c>
      <c r="AH23" s="1">
        <v>0</v>
      </c>
      <c r="AI23" s="28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28">
        <v>0</v>
      </c>
      <c r="AQ23" s="1">
        <v>0</v>
      </c>
      <c r="AR23" s="28">
        <v>0</v>
      </c>
      <c r="AS23" s="1">
        <v>0</v>
      </c>
      <c r="AT23" s="28">
        <v>0</v>
      </c>
      <c r="AU23" s="1">
        <v>0</v>
      </c>
      <c r="AV23" s="28">
        <v>0</v>
      </c>
      <c r="AW23" s="1">
        <v>0</v>
      </c>
    </row>
    <row r="24" spans="2:49" x14ac:dyDescent="0.35">
      <c r="B24" s="7" t="s">
        <v>26</v>
      </c>
      <c r="D24" s="28" t="s">
        <v>27</v>
      </c>
      <c r="E24" s="1" t="s">
        <v>27</v>
      </c>
      <c r="F24" s="1" t="s">
        <v>27</v>
      </c>
      <c r="G24" s="1" t="s">
        <v>27</v>
      </c>
      <c r="H24" s="28" t="s">
        <v>27</v>
      </c>
      <c r="I24" s="1" t="s">
        <v>27</v>
      </c>
      <c r="J24" s="1" t="s">
        <v>27</v>
      </c>
      <c r="K24" s="1" t="s">
        <v>27</v>
      </c>
      <c r="L24" s="28" t="s">
        <v>27</v>
      </c>
      <c r="M24" s="1" t="s">
        <v>27</v>
      </c>
      <c r="N24" s="1" t="s">
        <v>27</v>
      </c>
      <c r="O24" s="1" t="s">
        <v>27</v>
      </c>
      <c r="P24" s="28" t="s">
        <v>27</v>
      </c>
      <c r="Q24" s="1" t="s">
        <v>27</v>
      </c>
      <c r="R24" s="1" t="s">
        <v>27</v>
      </c>
      <c r="S24" s="1" t="s">
        <v>27</v>
      </c>
      <c r="T24" s="28" t="s">
        <v>27</v>
      </c>
      <c r="U24" s="1" t="s">
        <v>27</v>
      </c>
      <c r="V24" s="1" t="s">
        <v>27</v>
      </c>
      <c r="W24" s="1" t="s">
        <v>27</v>
      </c>
      <c r="X24" s="28" t="s">
        <v>27</v>
      </c>
      <c r="Y24" s="1" t="s">
        <v>27</v>
      </c>
      <c r="Z24" s="1" t="s">
        <v>27</v>
      </c>
      <c r="AA24" s="1" t="s">
        <v>27</v>
      </c>
      <c r="AB24" s="28" t="s">
        <v>27</v>
      </c>
      <c r="AC24" s="1" t="s">
        <v>27</v>
      </c>
      <c r="AD24" s="1" t="s">
        <v>27</v>
      </c>
      <c r="AE24" s="1" t="s">
        <v>27</v>
      </c>
      <c r="AF24" s="42" t="s">
        <v>27</v>
      </c>
      <c r="AG24" s="41" t="s">
        <v>27</v>
      </c>
      <c r="AH24" s="43" t="s">
        <v>27</v>
      </c>
      <c r="AI24" s="42" t="s">
        <v>27</v>
      </c>
      <c r="AJ24" s="41" t="s">
        <v>27</v>
      </c>
      <c r="AK24" s="41" t="s">
        <v>27</v>
      </c>
      <c r="AL24" s="41" t="s">
        <v>27</v>
      </c>
      <c r="AM24" s="41" t="s">
        <v>27</v>
      </c>
      <c r="AN24" s="41" t="s">
        <v>27</v>
      </c>
      <c r="AO24" s="41" t="s">
        <v>27</v>
      </c>
      <c r="AP24" s="28" t="s">
        <v>27</v>
      </c>
      <c r="AQ24" s="1" t="s">
        <v>27</v>
      </c>
      <c r="AR24" s="28" t="s">
        <v>27</v>
      </c>
      <c r="AS24" s="1" t="s">
        <v>27</v>
      </c>
      <c r="AT24" s="28" t="s">
        <v>27</v>
      </c>
      <c r="AU24" s="1" t="s">
        <v>27</v>
      </c>
      <c r="AV24" s="28" t="s">
        <v>27</v>
      </c>
      <c r="AW24" s="1" t="s">
        <v>27</v>
      </c>
    </row>
    <row r="25" spans="2:49" x14ac:dyDescent="0.35">
      <c r="B25" s="6" t="s">
        <v>28</v>
      </c>
      <c r="D25" s="29"/>
      <c r="E25" s="17"/>
      <c r="F25" s="17"/>
      <c r="G25" s="17"/>
      <c r="H25" s="29"/>
      <c r="I25" s="17"/>
      <c r="J25" s="17"/>
      <c r="K25" s="17"/>
      <c r="L25" s="29"/>
      <c r="M25" s="17"/>
      <c r="N25" s="17"/>
      <c r="O25" s="17"/>
      <c r="P25" s="29"/>
      <c r="Q25" s="17"/>
      <c r="R25" s="17"/>
      <c r="S25" s="17"/>
      <c r="T25" s="29"/>
      <c r="U25" s="17"/>
      <c r="V25" s="17"/>
      <c r="W25" s="17"/>
      <c r="X25" s="29"/>
      <c r="Y25" s="17"/>
      <c r="Z25" s="17"/>
      <c r="AA25" s="17"/>
      <c r="AB25" s="29"/>
      <c r="AC25" s="17"/>
      <c r="AD25" s="17"/>
      <c r="AE25" s="17"/>
      <c r="AF25" s="29"/>
      <c r="AG25" s="17"/>
      <c r="AH25" s="16"/>
      <c r="AI25" s="29"/>
      <c r="AJ25" s="17"/>
      <c r="AK25" s="17"/>
      <c r="AL25" s="17"/>
      <c r="AM25" s="17"/>
      <c r="AN25" s="17"/>
      <c r="AO25" s="17"/>
      <c r="AP25" s="29"/>
      <c r="AQ25" s="17"/>
      <c r="AR25" s="29"/>
      <c r="AS25" s="17"/>
      <c r="AT25" s="29"/>
      <c r="AU25" s="17"/>
      <c r="AV25" s="29"/>
      <c r="AW25" s="17"/>
    </row>
    <row r="26" spans="2:49" x14ac:dyDescent="0.35">
      <c r="B26" s="8" t="s">
        <v>29</v>
      </c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28" cm="1">
        <f t="array" ref="H26">Comm_MCS_ModOrd(H16,H17)</f>
        <v>8</v>
      </c>
      <c r="I26" s="1" cm="1">
        <f t="array" ref="I26">Comm_MCS_ModOrd(I16,I17)</f>
        <v>8</v>
      </c>
      <c r="J26" s="1" cm="1">
        <f t="array" ref="J26">Comm_MCS_ModOrd(J16,J17)</f>
        <v>8</v>
      </c>
      <c r="K26" s="1" cm="1">
        <f t="array" ref="K26">Comm_MCS_ModOrd(K16,K17)</f>
        <v>8</v>
      </c>
      <c r="L26" s="28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" cm="1">
        <f t="array" ref="O26">Comm_MCS_ModOrd(O16,O17)</f>
        <v>8</v>
      </c>
      <c r="P26" s="28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" cm="1">
        <f t="array" ref="S26">Comm_MCS_ModOrd(S16,S17)</f>
        <v>8</v>
      </c>
      <c r="T26" s="28" cm="1">
        <f t="array" ref="T26">Comm_MCS_ModOrd(T16,T17)</f>
        <v>8</v>
      </c>
      <c r="U26" s="1" cm="1">
        <f t="array" ref="U26">Comm_MCS_ModOrd(U16,U17)</f>
        <v>8</v>
      </c>
      <c r="V26" s="1" cm="1">
        <f t="array" ref="V26">Comm_MCS_ModOrd(V16,V17)</f>
        <v>8</v>
      </c>
      <c r="W26" s="1" cm="1">
        <f t="array" ref="W26">Comm_MCS_ModOrd(W16,W17)</f>
        <v>8</v>
      </c>
      <c r="X26" s="28" cm="1">
        <f t="array" ref="X26">Comm_MCS_ModOrd(X16,X17)</f>
        <v>8</v>
      </c>
      <c r="Y26" s="1" cm="1">
        <f t="array" ref="Y26">Comm_MCS_ModOrd(Y16,Y17)</f>
        <v>8</v>
      </c>
      <c r="Z26" s="1" cm="1">
        <f t="array" ref="Z26">Comm_MCS_ModOrd(Z16,Z17)</f>
        <v>8</v>
      </c>
      <c r="AA26" s="1" cm="1">
        <f t="array" ref="AA26">Comm_MCS_ModOrd(AA16,AA17)</f>
        <v>8</v>
      </c>
      <c r="AB26" s="28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1" cm="1">
        <f t="array" ref="AE26">Comm_MCS_ModOrd(AE16,AE17)</f>
        <v>8</v>
      </c>
      <c r="AF26" s="28" cm="1">
        <f t="array" ref="AF26">Comm_MCS_ModOrd(AF16,AF17)</f>
        <v>8</v>
      </c>
      <c r="AG26" s="1" cm="1">
        <f t="array" ref="AG26">Comm_MCS_ModOrd(AG16,AG17)</f>
        <v>6</v>
      </c>
      <c r="AH26" s="11" cm="1">
        <f t="array" ref="AH26">Comm_MCS_ModOrd(AH16,AH17)</f>
        <v>4</v>
      </c>
      <c r="AI26" s="28" cm="1">
        <f t="array" ref="AI26">Comm_MCS_ModOrd(AI16,AI17)</f>
        <v>8</v>
      </c>
      <c r="AJ26" s="1" cm="1">
        <f t="array" ref="AJ26">Comm_MCS_ModOrd(AJ16,AJ17)</f>
        <v>8</v>
      </c>
      <c r="AK26" s="1" cm="1">
        <f t="array" ref="AK26">Comm_MCS_ModOrd(AK16,AK17)</f>
        <v>8</v>
      </c>
      <c r="AL26" s="1" cm="1">
        <f t="array" ref="AL26">Comm_MCS_ModOrd(AL16,AL17)</f>
        <v>6</v>
      </c>
      <c r="AM26" s="1" cm="1">
        <f t="array" ref="AM26">Comm_MCS_ModOrd(AM16,AM17)</f>
        <v>6</v>
      </c>
      <c r="AN26" s="1" cm="1">
        <f t="array" ref="AN26">Comm_MCS_ModOrd(AN16,AN17)</f>
        <v>6</v>
      </c>
      <c r="AO26" s="1" cm="1">
        <f t="array" ref="AO26">Comm_MCS_ModOrd(AO16,AO17)</f>
        <v>4</v>
      </c>
      <c r="AP26" s="28" cm="1">
        <f t="array" ref="AP26">Comm_MCS_ModOrd(AP16,AP17)</f>
        <v>8</v>
      </c>
      <c r="AQ26" s="1" cm="1">
        <f t="array" ref="AQ26">Comm_MCS_ModOrd(AQ16,AQ17)</f>
        <v>8</v>
      </c>
      <c r="AR26" s="28" cm="1">
        <f t="array" ref="AR26">Comm_MCS_ModOrd(AR16,AR17)</f>
        <v>8</v>
      </c>
      <c r="AS26" s="1" cm="1">
        <f t="array" ref="AS26">Comm_MCS_ModOrd(AS16,AS17)</f>
        <v>8</v>
      </c>
      <c r="AT26" s="28" cm="1">
        <f t="array" ref="AT26">Comm_MCS_ModOrd(AT16,AT17)</f>
        <v>8</v>
      </c>
      <c r="AU26" s="1" cm="1">
        <f t="array" ref="AU26">Comm_MCS_ModOrd(AU16,AU17)</f>
        <v>8</v>
      </c>
      <c r="AV26" s="28" cm="1">
        <f t="array" ref="AV26">Comm_MCS_ModOrd(AV16,AV17)</f>
        <v>8</v>
      </c>
      <c r="AW26" s="1" cm="1">
        <f t="array" ref="AW26">Comm_MCS_ModOrd(AW16,AW17)</f>
        <v>8</v>
      </c>
    </row>
    <row r="27" spans="2:49" x14ac:dyDescent="0.35">
      <c r="B27" s="8" t="s">
        <v>30</v>
      </c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28" cm="1">
        <f t="array" ref="H27">Comm_MCS_CodeRate(H16,H17)</f>
        <v>948</v>
      </c>
      <c r="I27" s="1" cm="1">
        <f t="array" ref="I27">Comm_MCS_CodeRate(I16,I17)</f>
        <v>948</v>
      </c>
      <c r="J27" s="1" cm="1">
        <f t="array" ref="J27">Comm_MCS_CodeRate(J16,J17)</f>
        <v>948</v>
      </c>
      <c r="K27" s="1" cm="1">
        <f t="array" ref="K27">Comm_MCS_CodeRate(K16,K17)</f>
        <v>948</v>
      </c>
      <c r="L27" s="28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" cm="1">
        <f t="array" ref="O27">Comm_MCS_CodeRate(O16,O17)</f>
        <v>948</v>
      </c>
      <c r="P27" s="28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" cm="1">
        <f t="array" ref="S27">Comm_MCS_CodeRate(S16,S17)</f>
        <v>948</v>
      </c>
      <c r="T27" s="28" cm="1">
        <f t="array" ref="T27">Comm_MCS_CodeRate(T16,T17)</f>
        <v>948</v>
      </c>
      <c r="U27" s="1" cm="1">
        <f t="array" ref="U27">Comm_MCS_CodeRate(U16,U17)</f>
        <v>948</v>
      </c>
      <c r="V27" s="1" cm="1">
        <f t="array" ref="V27">Comm_MCS_CodeRate(V16,V17)</f>
        <v>948</v>
      </c>
      <c r="W27" s="1" cm="1">
        <f t="array" ref="W27">Comm_MCS_CodeRate(W16,W17)</f>
        <v>948</v>
      </c>
      <c r="X27" s="28" cm="1">
        <f t="array" ref="X27">Comm_MCS_CodeRate(X16,X17)</f>
        <v>948</v>
      </c>
      <c r="Y27" s="1" cm="1">
        <f t="array" ref="Y27">Comm_MCS_CodeRate(Y16,Y17)</f>
        <v>948</v>
      </c>
      <c r="Z27" s="1" cm="1">
        <f t="array" ref="Z27">Comm_MCS_CodeRate(Z16,Z17)</f>
        <v>948</v>
      </c>
      <c r="AA27" s="1" cm="1">
        <f t="array" ref="AA27">Comm_MCS_CodeRate(AA16,AA17)</f>
        <v>948</v>
      </c>
      <c r="AB27" s="28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1" cm="1">
        <f t="array" ref="AE27">Comm_MCS_CodeRate(AE16,AE17)</f>
        <v>948</v>
      </c>
      <c r="AF27" s="28" cm="1">
        <f t="array" ref="AF27">Comm_MCS_CodeRate(AF16,AF17)</f>
        <v>841</v>
      </c>
      <c r="AG27" s="1" cm="1">
        <f t="array" ref="AG27">Comm_MCS_CodeRate(AG16,AG17)</f>
        <v>567</v>
      </c>
      <c r="AH27" s="11" cm="1">
        <f t="array" ref="AH27">Comm_MCS_CodeRate(AH16,AH17)</f>
        <v>490</v>
      </c>
      <c r="AI27" s="28" cm="1">
        <f t="array" ref="AI27">Comm_MCS_CodeRate(AI16,AI17)</f>
        <v>841</v>
      </c>
      <c r="AJ27" s="1" cm="1">
        <f t="array" ref="AJ27">Comm_MCS_CodeRate(AJ16,AJ17)</f>
        <v>841</v>
      </c>
      <c r="AK27" s="1" cm="1">
        <f t="array" ref="AK27">Comm_MCS_CodeRate(AK16,AK17)</f>
        <v>841</v>
      </c>
      <c r="AL27" s="1" cm="1">
        <f t="array" ref="AL27">Comm_MCS_CodeRate(AL16,AL17)</f>
        <v>567</v>
      </c>
      <c r="AM27" s="1" cm="1">
        <f t="array" ref="AM27">Comm_MCS_CodeRate(AM16,AM17)</f>
        <v>567</v>
      </c>
      <c r="AN27" s="1" cm="1">
        <f t="array" ref="AN27">Comm_MCS_CodeRate(AN16,AN17)</f>
        <v>567</v>
      </c>
      <c r="AO27" s="1" cm="1">
        <f t="array" ref="AO27">Comm_MCS_CodeRate(AO16,AO17)</f>
        <v>490</v>
      </c>
      <c r="AP27" s="28" cm="1">
        <f t="array" ref="AP27">Comm_MCS_CodeRate(AP16,AP17)</f>
        <v>948</v>
      </c>
      <c r="AQ27" s="1" cm="1">
        <f t="array" ref="AQ27">Comm_MCS_CodeRate(AQ16,AQ17)</f>
        <v>948</v>
      </c>
      <c r="AR27" s="28" cm="1">
        <f t="array" ref="AR27">Comm_MCS_CodeRate(AR16,AR17)</f>
        <v>948</v>
      </c>
      <c r="AS27" s="1" cm="1">
        <f t="array" ref="AS27">Comm_MCS_CodeRate(AS16,AS17)</f>
        <v>948</v>
      </c>
      <c r="AT27" s="28" cm="1">
        <f t="array" ref="AT27">Comm_MCS_CodeRate(AT16,AT17)</f>
        <v>948</v>
      </c>
      <c r="AU27" s="1" cm="1">
        <f t="array" ref="AU27">Comm_MCS_CodeRate(AU16,AU17)</f>
        <v>948</v>
      </c>
      <c r="AV27" s="28" cm="1">
        <f t="array" ref="AV27">Comm_MCS_CodeRate(AV16,AV17)</f>
        <v>948</v>
      </c>
      <c r="AW27" s="1" cm="1">
        <f t="array" ref="AW27">Comm_MCS_CodeRate(AW16,AW17)</f>
        <v>948</v>
      </c>
    </row>
    <row r="28" spans="2:49" x14ac:dyDescent="0.35">
      <c r="B28" s="9" t="s">
        <v>31</v>
      </c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28" cm="1">
        <f t="array" ref="H28">Comm_Z(H11,H26,H27,H12,H13,H10/H18)</f>
        <v>384</v>
      </c>
      <c r="I28" s="1" cm="1">
        <f t="array" ref="I28">Comm_Z(I11,I26,I27,I12,I13,I10/I18)</f>
        <v>384</v>
      </c>
      <c r="J28" s="1" cm="1">
        <f t="array" ref="J28">Comm_Z(J11,J26,J27,J12,J13,J10/J18)</f>
        <v>384</v>
      </c>
      <c r="K28" s="1" cm="1">
        <f t="array" ref="K28">Comm_Z(K11,K26,K27,K12,K13,K10/K18)</f>
        <v>384</v>
      </c>
      <c r="L28" s="28" cm="1">
        <f t="array" ref="L28">Comm_Z(L11,L26,L27,L12,L13,L10/L18)</f>
        <v>384</v>
      </c>
      <c r="M28" s="1" cm="1">
        <f t="array" ref="M28">Comm_Z(M11,M26,M27,M12,M13,M10/M18)</f>
        <v>384</v>
      </c>
      <c r="N28" s="1" cm="1">
        <f t="array" ref="N28">Comm_Z(N11,N26,N27,N12,N13,N10/N18)</f>
        <v>384</v>
      </c>
      <c r="O28" s="1" cm="1">
        <f t="array" ref="O28">Comm_Z(O11,O26,O27,O12,O13,O10/O18)</f>
        <v>384</v>
      </c>
      <c r="P28" s="28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" cm="1">
        <f t="array" ref="S28">Comm_Z(S11,S26,S27,S12,S13,S10/S18)</f>
        <v>384</v>
      </c>
      <c r="T28" s="28" cm="1">
        <f t="array" ref="T28">Comm_Z(T11,T26,T27,T12,T13,T10/T18)</f>
        <v>384</v>
      </c>
      <c r="U28" s="1" cm="1">
        <f t="array" ref="U28">Comm_Z(U11,U26,U27,U12,U13,U10/U18)</f>
        <v>384</v>
      </c>
      <c r="V28" s="1" cm="1">
        <f t="array" ref="V28">Comm_Z(V11,V26,V27,V12,V13,V10/V18)</f>
        <v>384</v>
      </c>
      <c r="W28" s="1" cm="1">
        <f t="array" ref="W28">Comm_Z(W11,W26,W27,W12,W13,W10/W18)</f>
        <v>384</v>
      </c>
      <c r="X28" s="28" cm="1">
        <f t="array" ref="X28">Comm_Z(X11,X26,X27,X12,X13,X10/X18)</f>
        <v>384</v>
      </c>
      <c r="Y28" s="1" cm="1">
        <f t="array" ref="Y28">Comm_Z(Y11,Y26,Y27,Y12,Y13,Y10/Y18)</f>
        <v>384</v>
      </c>
      <c r="Z28" s="1" cm="1">
        <f t="array" ref="Z28">Comm_Z(Z11,Z26,Z27,Z12,Z13,Z10/Z18)</f>
        <v>384</v>
      </c>
      <c r="AA28" s="1" cm="1">
        <f t="array" ref="AA28">Comm_Z(AA11,AA26,AA27,AA12,AA13,AA10/AA18)</f>
        <v>384</v>
      </c>
      <c r="AB28" s="28" cm="1">
        <f t="array" ref="AB28">Comm_Z(AB11,AB26,AB27,AB12,AB13,AB10/AB18)</f>
        <v>384</v>
      </c>
      <c r="AC28" s="1" cm="1">
        <f t="array" ref="AC28">Comm_Z(AC11,AC26,AC27,AC12,AC13,AC10/AC18)</f>
        <v>384</v>
      </c>
      <c r="AD28" s="1" cm="1">
        <f t="array" ref="AD28">Comm_Z(AD11,AD26,AD27,AD12,AD13,AD10/AD18)</f>
        <v>384</v>
      </c>
      <c r="AE28" s="1" cm="1">
        <f t="array" ref="AE28">Comm_Z(AE11,AE26,AE27,AE12,AE13,AE10/AE18)</f>
        <v>384</v>
      </c>
      <c r="AF28" s="28" cm="1">
        <f t="array" ref="AF28">Comm_Z(AF11,AF26,AF27,AF12,AF13,AF10/AF18)</f>
        <v>384</v>
      </c>
      <c r="AG28" s="1" cm="1">
        <f t="array" ref="AG28">Comm_Z(AG11,AG26,AG27,AG12,AG13,AG10/AG18)</f>
        <v>320</v>
      </c>
      <c r="AH28" s="11" cm="1">
        <f t="array" ref="AH28">Comm_Z(AH11,AH26,AH27,AH12,AH13,AH10/AH18)</f>
        <v>288</v>
      </c>
      <c r="AI28" s="28" cm="1">
        <f t="array" ref="AI28">Comm_Z(AI11,AI26,AI27,AI12,AI13,AI10/AI18)</f>
        <v>320</v>
      </c>
      <c r="AJ28" s="1" cm="1">
        <f t="array" ref="AJ28">Comm_Z(AJ11,AJ26,AJ27,AJ12,AJ13,AJ10/AJ18)</f>
        <v>320</v>
      </c>
      <c r="AK28" s="1" cm="1">
        <f t="array" ref="AK28">Comm_Z(AK11,AK26,AK27,AK12,AK13,AK10/AK18)</f>
        <v>384</v>
      </c>
      <c r="AL28" s="1" cm="1">
        <f t="array" ref="AL28">Comm_Z(AL11,AL26,AL27,AL12,AL13,AL10/AL18)</f>
        <v>352</v>
      </c>
      <c r="AM28" s="1" cm="1">
        <f t="array" ref="AM28">Comm_Z(AM11,AM26,AM27,AM12,AM13,AM10/AM18)</f>
        <v>352</v>
      </c>
      <c r="AN28" s="1" cm="1">
        <f t="array" ref="AN28">Comm_Z(AN11,AN26,AN27,AN12,AN13,AN10/AN18)</f>
        <v>352</v>
      </c>
      <c r="AO28" s="1" cm="1">
        <f t="array" ref="AO28">Comm_Z(AO11,AO26,AO27,AO12,AO13,AO10/AO18)</f>
        <v>208</v>
      </c>
      <c r="AP28" s="28" cm="1">
        <f t="array" ref="AP28">Comm_Z(AP11,AP26,AP27,AP12,AP13,AP10/AP18)</f>
        <v>384</v>
      </c>
      <c r="AQ28" s="1" cm="1">
        <f t="array" ref="AQ28">Comm_Z(AQ11,AQ26,AQ27,AQ12,AQ13,AQ10/AQ18)</f>
        <v>384</v>
      </c>
      <c r="AR28" s="28" cm="1">
        <f t="array" ref="AR28">Comm_Z(AR11,AR26,AR27,AR12,AR13,AR10/AR18)</f>
        <v>384</v>
      </c>
      <c r="AS28" s="1" cm="1">
        <f t="array" ref="AS28">Comm_Z(AS11,AS26,AS27,AS12,AS13,AS10/AS18)</f>
        <v>384</v>
      </c>
      <c r="AT28" s="28" cm="1">
        <f t="array" ref="AT28">Comm_Z(AT11,AT26,AT27,AT12,AT13,AT10/AT18)</f>
        <v>384</v>
      </c>
      <c r="AU28" s="1" cm="1">
        <f t="array" ref="AU28">Comm_Z(AU11,AU26,AU27,AU12,AU13,AU10/AU18)</f>
        <v>384</v>
      </c>
      <c r="AV28" s="28" cm="1">
        <f t="array" ref="AV28">Comm_Z(AV11,AV26,AV27,AV12,AV13,AV10/AV18)</f>
        <v>352</v>
      </c>
      <c r="AW28" s="1" cm="1">
        <f t="array" ref="AW28">Comm_Z(AW11,AW26,AW27,AW12,AW13,AW10/AW18)</f>
        <v>352</v>
      </c>
    </row>
    <row r="29" spans="2:49" x14ac:dyDescent="0.35">
      <c r="B29" s="9" t="s">
        <v>32</v>
      </c>
      <c r="D29" s="28" cm="1">
        <f t="array" ref="D29">Comm_TBS(D11,D26,D27,D12,D13,D10/D18)</f>
        <v>262376</v>
      </c>
      <c r="E29" s="1" cm="1">
        <f t="array" ref="E29">Comm_TBS(E11,E26,E27,E12,E13,E10/E18)</f>
        <v>262376</v>
      </c>
      <c r="F29" s="1" cm="1">
        <f t="array" ref="F29">Comm_TBS(F11,F26,F27,F12,F13,F10/F18)</f>
        <v>262376</v>
      </c>
      <c r="G29" s="1" cm="1">
        <f t="array" ref="G29">Comm_TBS(G11,G26,G27,G12,G13,G10/G18)</f>
        <v>262376</v>
      </c>
      <c r="H29" s="28" cm="1">
        <f t="array" ref="H29">Comm_TBS(H11,H26,H27,H12,H13,H10/H18)</f>
        <v>237776</v>
      </c>
      <c r="I29" s="1" cm="1">
        <f t="array" ref="I29">Comm_TBS(I11,I26,I27,I12,I13,I10/I18)</f>
        <v>237776</v>
      </c>
      <c r="J29" s="1" cm="1">
        <f t="array" ref="J29">Comm_TBS(J11,J26,J27,J12,J13,J10/J18)</f>
        <v>237776</v>
      </c>
      <c r="K29" s="1" cm="1">
        <f t="array" ref="K29">Comm_TBS(K11,K26,K27,K12,K13,K10/K18)</f>
        <v>237776</v>
      </c>
      <c r="L29" s="28" cm="1">
        <f t="array" ref="L29">Comm_TBS(L11,L26,L27,L12,L13,L10/L18)</f>
        <v>225480</v>
      </c>
      <c r="M29" s="1" cm="1">
        <f t="array" ref="M29">Comm_TBS(M11,M26,M27,M12,M13,M10/M18)</f>
        <v>225480</v>
      </c>
      <c r="N29" s="1" cm="1">
        <f t="array" ref="N29">Comm_TBS(N11,N26,N27,N12,N13,N10/N18)</f>
        <v>225480</v>
      </c>
      <c r="O29" s="1" cm="1">
        <f t="array" ref="O29">Comm_TBS(O11,O26,O27,O12,O13,O10/O18)</f>
        <v>225480</v>
      </c>
      <c r="P29" s="28" cm="1">
        <f t="array" ref="P29">Comm_TBS(P11,P26,P27,P12,P13,P10/P18)</f>
        <v>213176</v>
      </c>
      <c r="Q29" s="1" cm="1">
        <f t="array" ref="Q29">Comm_TBS(Q11,Q26,Q27,Q12,Q13,Q10/Q18)</f>
        <v>213176</v>
      </c>
      <c r="R29" s="1" cm="1">
        <f t="array" ref="R29">Comm_TBS(R11,R26,R27,R12,R13,R10/R18)</f>
        <v>213176</v>
      </c>
      <c r="S29" s="1" cm="1">
        <f t="array" ref="S29">Comm_TBS(S11,S26,S27,S12,S13,S10/S18)</f>
        <v>213176</v>
      </c>
      <c r="T29" s="28" cm="1">
        <f t="array" ref="T29">Comm_TBS(T11,T26,T27,T12,T13,T10/T18)</f>
        <v>200808</v>
      </c>
      <c r="U29" s="1" cm="1">
        <f t="array" ref="U29">Comm_TBS(U11,U26,U27,U12,U13,U10/U18)</f>
        <v>200808</v>
      </c>
      <c r="V29" s="1" cm="1">
        <f t="array" ref="V29">Comm_TBS(V11,V26,V27,V12,V13,V10/V18)</f>
        <v>200808</v>
      </c>
      <c r="W29" s="1" cm="1">
        <f t="array" ref="W29">Comm_TBS(W11,W26,W27,W12,W13,W10/W18)</f>
        <v>200808</v>
      </c>
      <c r="X29" s="28" cm="1">
        <f t="array" ref="X29">Comm_TBS(X11,X26,X27,X12,X13,X10/X18)</f>
        <v>184424</v>
      </c>
      <c r="Y29" s="1" cm="1">
        <f t="array" ref="Y29">Comm_TBS(Y11,Y26,Y27,Y12,Y13,Y10/Y18)</f>
        <v>184424</v>
      </c>
      <c r="Z29" s="1" cm="1">
        <f t="array" ref="Z29">Comm_TBS(Z11,Z26,Z27,Z12,Z13,Z10/Z18)</f>
        <v>184424</v>
      </c>
      <c r="AA29" s="1" cm="1">
        <f t="array" ref="AA29">Comm_TBS(AA11,AA26,AA27,AA12,AA13,AA10/AA18)</f>
        <v>184424</v>
      </c>
      <c r="AB29" s="28" cm="1">
        <f t="array" ref="AB29">Comm_TBS(AB11,AB26,AB27,AB12,AB13,AB10/AB18)</f>
        <v>250056</v>
      </c>
      <c r="AC29" s="1" cm="1">
        <f t="array" ref="AC29">Comm_TBS(AC11,AC26,AC27,AC12,AC13,AC10/AC18)</f>
        <v>250056</v>
      </c>
      <c r="AD29" s="1" cm="1">
        <f t="array" ref="AD29">Comm_TBS(AD11,AD26,AD27,AD12,AD13,AD10/AD18)</f>
        <v>250056</v>
      </c>
      <c r="AE29" s="1" cm="1">
        <f t="array" ref="AE29">Comm_TBS(AE11,AE26,AE27,AE12,AE13,AE10/AE18)</f>
        <v>250056</v>
      </c>
      <c r="AF29" s="28" cm="1">
        <f t="array" ref="AF29">Comm_TBS(AF11,AF26,AF27,AF12,AF13,AF10/AF18)</f>
        <v>110632</v>
      </c>
      <c r="AG29" s="1" cm="1">
        <f t="array" ref="AG29">Comm_TBS(AG11,AG26,AG27,AG12,AG13,AG10/AG18)</f>
        <v>34816</v>
      </c>
      <c r="AH29" s="11" cm="1">
        <f t="array" ref="AH29">Comm_TBS(AH11,AH26,AH27,AH12,AH13,AH10/AH18)</f>
        <v>6016</v>
      </c>
      <c r="AI29" s="28" cm="1">
        <f t="array" ref="AI29">Comm_TBS(AI11,AI26,AI27,AI12,AI13,AI10/AI18)</f>
        <v>27656</v>
      </c>
      <c r="AJ29" s="1" cm="1">
        <f t="array" ref="AJ29">Comm_TBS(AJ11,AJ26,AJ27,AJ12,AJ13,AJ10/AJ18)</f>
        <v>27656</v>
      </c>
      <c r="AK29" s="1" cm="1">
        <f t="array" ref="AK29">Comm_TBS(AK11,AK26,AK27,AK12,AK13,AK10/AK18)</f>
        <v>55304</v>
      </c>
      <c r="AL29" s="1" cm="1">
        <f t="array" ref="AL29">Comm_TBS(AL11,AL26,AL27,AL12,AL13,AL10/AL18)</f>
        <v>7040</v>
      </c>
      <c r="AM29" s="1" cm="1">
        <f t="array" ref="AM29">Comm_TBS(AM11,AM26,AM27,AM12,AM13,AM10/AM18)</f>
        <v>14088</v>
      </c>
      <c r="AN29" s="1" cm="1">
        <f t="array" ref="AN29">Comm_TBS(AN11,AN26,AN27,AN12,AN13,AN10/AN18)</f>
        <v>14088</v>
      </c>
      <c r="AO29" s="1" cm="1">
        <f t="array" ref="AO29">Comm_TBS(AO11,AO26,AO27,AO12,AO13,AO10/AO18)</f>
        <v>2024</v>
      </c>
      <c r="AP29" s="28" cm="1">
        <f t="array" ref="AP29">Comm_TBS(AP11,AP26,AP27,AP12,AP13,AP10/AP18)</f>
        <v>524640</v>
      </c>
      <c r="AQ29" s="1" cm="1">
        <f t="array" ref="AQ29">Comm_TBS(AQ11,AQ26,AQ27,AQ12,AQ13,AQ10/AQ18)</f>
        <v>524640</v>
      </c>
      <c r="AR29" s="28" cm="1">
        <f t="array" ref="AR29">Comm_TBS(AR11,AR26,AR27,AR12,AR13,AR10/AR18)</f>
        <v>262376</v>
      </c>
      <c r="AS29" s="1" cm="1">
        <f t="array" ref="AS29">Comm_TBS(AS11,AS26,AS27,AS12,AS13,AS10/AS18)</f>
        <v>262376</v>
      </c>
      <c r="AT29" s="28" cm="1">
        <f t="array" ref="AT29">Comm_TBS(AT11,AT26,AT27,AT12,AT13,AT10/AT18)</f>
        <v>88064</v>
      </c>
      <c r="AU29" s="1" cm="1">
        <f t="array" ref="AU29">Comm_TBS(AU11,AU26,AU27,AU12,AU13,AU10/AU18)</f>
        <v>88064</v>
      </c>
      <c r="AV29" s="28" cm="1">
        <f t="array" ref="AV29">Comm_TBS(AV11,AV26,AV27,AV12,AV13,AV10/AV18)</f>
        <v>43032</v>
      </c>
      <c r="AW29" s="1" cm="1">
        <f t="array" ref="AW29">Comm_TBS(AW11,AW26,AW27,AW12,AW13,AW10/AW18)</f>
        <v>43032</v>
      </c>
    </row>
    <row r="30" spans="2:49" x14ac:dyDescent="0.35">
      <c r="B30" s="9" t="s">
        <v>33</v>
      </c>
      <c r="D30" s="28" cm="1">
        <f t="array" ref="D30">Comm_CB(D11,D26,D27,D12,D13,D10/D18)</f>
        <v>32</v>
      </c>
      <c r="E30" s="1" cm="1">
        <f t="array" ref="E30">Comm_CB(E11,E26,E27,E12,E13,E10/E18)</f>
        <v>32</v>
      </c>
      <c r="F30" s="1" cm="1">
        <f t="array" ref="F30">Comm_CB(F11,F26,F27,F12,F13,F10/F18)</f>
        <v>32</v>
      </c>
      <c r="G30" s="1" cm="1">
        <f t="array" ref="G30">Comm_CB(G11,G26,G27,G12,G13,G10/G18)</f>
        <v>32</v>
      </c>
      <c r="H30" s="28" cm="1">
        <f t="array" ref="H30">Comm_CB(H11,H26,H27,H12,H13,H10/H18)</f>
        <v>29</v>
      </c>
      <c r="I30" s="1" cm="1">
        <f t="array" ref="I30">Comm_CB(I11,I26,I27,I12,I13,I10/I18)</f>
        <v>29</v>
      </c>
      <c r="J30" s="1" cm="1">
        <f t="array" ref="J30">Comm_CB(J11,J26,J27,J12,J13,J10/J18)</f>
        <v>29</v>
      </c>
      <c r="K30" s="1" cm="1">
        <f t="array" ref="K30">Comm_CB(K11,K26,K27,K12,K13,K10/K18)</f>
        <v>29</v>
      </c>
      <c r="L30" s="28" cm="1">
        <f t="array" ref="L30">Comm_CB(L11,L26,L27,L12,L13,L10/L18)</f>
        <v>27</v>
      </c>
      <c r="M30" s="1" cm="1">
        <f t="array" ref="M30">Comm_CB(M11,M26,M27,M12,M13,M10/M18)</f>
        <v>27</v>
      </c>
      <c r="N30" s="1" cm="1">
        <f t="array" ref="N30">Comm_CB(N11,N26,N27,N12,N13,N10/N18)</f>
        <v>27</v>
      </c>
      <c r="O30" s="1" cm="1">
        <f t="array" ref="O30">Comm_CB(O11,O26,O27,O12,O13,O10/O18)</f>
        <v>27</v>
      </c>
      <c r="P30" s="28" cm="1">
        <f t="array" ref="P30">Comm_CB(P11,P26,P27,P12,P13,P10/P18)</f>
        <v>26</v>
      </c>
      <c r="Q30" s="1" cm="1">
        <f t="array" ref="Q30">Comm_CB(Q11,Q26,Q27,Q12,Q13,Q10/Q18)</f>
        <v>26</v>
      </c>
      <c r="R30" s="1" cm="1">
        <f t="array" ref="R30">Comm_CB(R11,R26,R27,R12,R13,R10/R18)</f>
        <v>26</v>
      </c>
      <c r="S30" s="1" cm="1">
        <f t="array" ref="S30">Comm_CB(S11,S26,S27,S12,S13,S10/S18)</f>
        <v>26</v>
      </c>
      <c r="T30" s="28" cm="1">
        <f t="array" ref="T30">Comm_CB(T11,T26,T27,T12,T13,T10/T18)</f>
        <v>24</v>
      </c>
      <c r="U30" s="1" cm="1">
        <f t="array" ref="U30">Comm_CB(U11,U26,U27,U12,U13,U10/U18)</f>
        <v>24</v>
      </c>
      <c r="V30" s="1" cm="1">
        <f t="array" ref="V30">Comm_CB(V11,V26,V27,V12,V13,V10/V18)</f>
        <v>24</v>
      </c>
      <c r="W30" s="1" cm="1">
        <f t="array" ref="W30">Comm_CB(W11,W26,W27,W12,W13,W10/W18)</f>
        <v>24</v>
      </c>
      <c r="X30" s="28" cm="1">
        <f t="array" ref="X30">Comm_CB(X11,X26,X27,X12,X13,X10/X18)</f>
        <v>22</v>
      </c>
      <c r="Y30" s="1" cm="1">
        <f t="array" ref="Y30">Comm_CB(Y11,Y26,Y27,Y12,Y13,Y10/Y18)</f>
        <v>22</v>
      </c>
      <c r="Z30" s="1" cm="1">
        <f t="array" ref="Z30">Comm_CB(Z11,Z26,Z27,Z12,Z13,Z10/Z18)</f>
        <v>22</v>
      </c>
      <c r="AA30" s="1" cm="1">
        <f t="array" ref="AA30">Comm_CB(AA11,AA26,AA27,AA12,AA13,AA10/AA18)</f>
        <v>22</v>
      </c>
      <c r="AB30" s="28" cm="1">
        <f t="array" ref="AB30">Comm_CB(AB11,AB26,AB27,AB12,AB13,AB10/AB18)</f>
        <v>30</v>
      </c>
      <c r="AC30" s="1" cm="1">
        <f t="array" ref="AC30">Comm_CB(AC11,AC26,AC27,AC12,AC13,AC10/AC18)</f>
        <v>30</v>
      </c>
      <c r="AD30" s="1" cm="1">
        <f t="array" ref="AD30">Comm_CB(AD11,AD26,AD27,AD12,AD13,AD10/AD18)</f>
        <v>30</v>
      </c>
      <c r="AE30" s="1" cm="1">
        <f t="array" ref="AE30">Comm_CB(AE11,AE26,AE27,AE12,AE13,AE10/AE18)</f>
        <v>30</v>
      </c>
      <c r="AF30" s="28" cm="1">
        <f t="array" ref="AF30">Comm_CB(AF11,AF26,AF27,AF12,AF13,AF10/AF18)</f>
        <v>14</v>
      </c>
      <c r="AG30" s="1" cm="1">
        <f t="array" ref="AG30">Comm_CB(AG11,AG26,AG27,AG12,AG13,AG10/AG18)</f>
        <v>5</v>
      </c>
      <c r="AH30" s="11" cm="1">
        <f t="array" ref="AH30">Comm_CB(AH11,AH26,AH27,AH12,AH13,AH10/AH18)</f>
        <v>1</v>
      </c>
      <c r="AI30" s="28" cm="1">
        <f t="array" ref="AI30">Comm_CB(AI11,AI26,AI27,AI12,AI13,AI10/AI18)</f>
        <v>4</v>
      </c>
      <c r="AJ30" s="1" cm="1">
        <f t="array" ref="AJ30">Comm_CB(AJ11,AJ26,AJ27,AJ12,AJ13,AJ10/AJ18)</f>
        <v>4</v>
      </c>
      <c r="AK30" s="1" cm="1">
        <f t="array" ref="AK30">Comm_CB(AK11,AK26,AK27,AK12,AK13,AK10/AK18)</f>
        <v>7</v>
      </c>
      <c r="AL30" s="1" cm="1">
        <f t="array" ref="AL30">Comm_CB(AL11,AL26,AL27,AL12,AL13,AL10/AL18)</f>
        <v>1</v>
      </c>
      <c r="AM30" s="1" cm="1">
        <f t="array" ref="AM30">Comm_CB(AM11,AM26,AM27,AM12,AM13,AM10/AM18)</f>
        <v>2</v>
      </c>
      <c r="AN30" s="1" cm="1">
        <f t="array" ref="AN30">Comm_CB(AN11,AN26,AN27,AN12,AN13,AN10/AN18)</f>
        <v>2</v>
      </c>
      <c r="AO30" s="1" cm="1">
        <f t="array" ref="AO30">Comm_CB(AO11,AO26,AO27,AO12,AO13,AO10/AO18)</f>
        <v>1</v>
      </c>
      <c r="AP30" s="28" cm="1">
        <f t="array" ref="AP30">Comm_CB(AP11,AP26,AP27,AP12,AP13,AP10/AP18)</f>
        <v>63</v>
      </c>
      <c r="AQ30" s="1" cm="1">
        <f t="array" ref="AQ30">Comm_CB(AQ11,AQ26,AQ27,AQ12,AQ13,AQ10/AQ18)</f>
        <v>63</v>
      </c>
      <c r="AR30" s="28" cm="1">
        <f t="array" ref="AR30">Comm_CB(AR11,AR26,AR27,AR12,AR13,AR10/AR18)</f>
        <v>32</v>
      </c>
      <c r="AS30" s="1" cm="1">
        <f t="array" ref="AS30">Comm_CB(AS11,AS26,AS27,AS12,AS13,AS10/AS18)</f>
        <v>32</v>
      </c>
      <c r="AT30" s="28" cm="1">
        <f t="array" ref="AT30">Comm_CB(AT11,AT26,AT27,AT12,AT13,AT10/AT18)</f>
        <v>11</v>
      </c>
      <c r="AU30" s="1" cm="1">
        <f t="array" ref="AU30">Comm_CB(AU11,AU26,AU27,AU12,AU13,AU10/AU18)</f>
        <v>11</v>
      </c>
      <c r="AV30" s="28" cm="1">
        <f t="array" ref="AV30">Comm_CB(AV11,AV26,AV27,AV12,AV13,AV10/AV18)</f>
        <v>6</v>
      </c>
      <c r="AW30" s="1" cm="1">
        <f t="array" ref="AW30">Comm_CB(AW11,AW26,AW27,AW12,AW13,AW10/AW18)</f>
        <v>6</v>
      </c>
    </row>
    <row r="31" spans="2:49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0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1" cm="1">
        <f t="array" ref="J31">Comm_Parity_Nodes(J11,J26,J27,J12,J13,J10/J18)</f>
        <v>4</v>
      </c>
      <c r="K31" s="31" cm="1">
        <f t="array" ref="K31">Comm_Parity_Nodes(K11,K26,K27,K12,K13,K10/K18)</f>
        <v>4</v>
      </c>
      <c r="L31" s="30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31" cm="1">
        <f t="array" ref="O31">Comm_Parity_Nodes(O11,O26,O27,O12,O13,O10/O18)</f>
        <v>4</v>
      </c>
      <c r="P31" s="30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31" cm="1">
        <f t="array" ref="S31">Comm_Parity_Nodes(S11,S26,S27,S12,S13,S10/S18)</f>
        <v>4</v>
      </c>
      <c r="T31" s="30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1" cm="1">
        <f t="array" ref="V31">Comm_Parity_Nodes(V11,V26,V27,V12,V13,V10/V18)</f>
        <v>4</v>
      </c>
      <c r="W31" s="31" cm="1">
        <f t="array" ref="W31">Comm_Parity_Nodes(W11,W26,W27,W12,W13,W10/W18)</f>
        <v>4</v>
      </c>
      <c r="X31" s="30" cm="1">
        <f t="array" ref="X31">Comm_Parity_Nodes(X11,X26,X27,X12,X13,X10/X18)</f>
        <v>4</v>
      </c>
      <c r="Y31" s="31" cm="1">
        <f t="array" ref="Y31">Comm_Parity_Nodes(Y11,Y26,Y27,Y12,Y13,Y10/Y18)</f>
        <v>4</v>
      </c>
      <c r="Z31" s="31" cm="1">
        <f t="array" ref="Z31">Comm_Parity_Nodes(Z11,Z26,Z27,Z12,Z13,Z10/Z18)</f>
        <v>4</v>
      </c>
      <c r="AA31" s="31" cm="1">
        <f t="array" ref="AA31">Comm_Parity_Nodes(AA11,AA26,AA27,AA12,AA13,AA10/AA18)</f>
        <v>4</v>
      </c>
      <c r="AB31" s="30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31" cm="1">
        <f t="array" ref="AE31">Comm_Parity_Nodes(AE11,AE26,AE27,AE12,AE13,AE10/AE18)</f>
        <v>4</v>
      </c>
      <c r="AF31" s="30" cm="1">
        <f t="array" ref="AF31">Comm_Parity_Nodes(AF11,AF26,AF27,AF12,AF13,AF10/AF18)</f>
        <v>7</v>
      </c>
      <c r="AG31" s="31" cm="1">
        <f t="array" ref="AG31">Comm_Parity_Nodes(AG11,AG26,AG27,AG12,AG13,AG10/AG18)</f>
        <v>20</v>
      </c>
      <c r="AH31" s="12" cm="1">
        <f t="array" ref="AH31">Comm_Parity_Nodes(AH11,AH26,AH27,AH12,AH13,AH10/AH18)</f>
        <v>26</v>
      </c>
      <c r="AI31" s="30" cm="1">
        <f t="array" ref="AI31">Comm_Parity_Nodes(AI11,AI26,AI27,AI12,AI13,AI10/AI18)</f>
        <v>7</v>
      </c>
      <c r="AJ31" s="31" cm="1">
        <f t="array" ref="AJ31">Comm_Parity_Nodes(AJ11,AJ26,AJ27,AJ12,AJ13,AJ10/AJ18)</f>
        <v>7</v>
      </c>
      <c r="AK31" s="31" cm="1">
        <f t="array" ref="AK31">Comm_Parity_Nodes(AK11,AK26,AK27,AK12,AK13,AK10/AK18)</f>
        <v>7</v>
      </c>
      <c r="AL31" s="31" cm="1">
        <f t="array" ref="AL31">Comm_Parity_Nodes(AL11,AL26,AL27,AL12,AL13,AL10/AL18)</f>
        <v>18</v>
      </c>
      <c r="AM31" s="31" cm="1">
        <f t="array" ref="AM31">Comm_Parity_Nodes(AM11,AM26,AM27,AM12,AM13,AM10/AM18)</f>
        <v>18</v>
      </c>
      <c r="AN31" s="31" cm="1">
        <f t="array" ref="AN31">Comm_Parity_Nodes(AN11,AN26,AN27,AN12,AN13,AN10/AN18)</f>
        <v>18</v>
      </c>
      <c r="AO31" s="31" cm="1">
        <f t="array" ref="AO31">Comm_Parity_Nodes(AO11,AO26,AO27,AO12,AO13,AO10/AO18)</f>
        <v>13</v>
      </c>
      <c r="AP31" s="30" cm="1">
        <f t="array" ref="AP31">Comm_Parity_Nodes(AP11,AP26,AP27,AP12,AP13,AP10/AP18)</f>
        <v>4</v>
      </c>
      <c r="AQ31" s="31" cm="1">
        <f t="array" ref="AQ31">Comm_Parity_Nodes(AQ11,AQ26,AQ27,AQ12,AQ13,AQ10/AQ18)</f>
        <v>4</v>
      </c>
      <c r="AR31" s="30" cm="1">
        <f t="array" ref="AR31">Comm_Parity_Nodes(AR11,AR26,AR27,AR12,AR13,AR10/AR18)</f>
        <v>4</v>
      </c>
      <c r="AS31" s="31" cm="1">
        <f t="array" ref="AS31">Comm_Parity_Nodes(AS11,AS26,AS27,AS12,AS13,AS10/AS18)</f>
        <v>4</v>
      </c>
      <c r="AT31" s="30" cm="1">
        <f t="array" ref="AT31">Comm_Parity_Nodes(AT11,AT26,AT27,AT12,AT13,AT10/AT18)</f>
        <v>4</v>
      </c>
      <c r="AU31" s="31" cm="1">
        <f t="array" ref="AU31">Comm_Parity_Nodes(AU11,AU26,AU27,AU12,AU13,AU10/AU18)</f>
        <v>4</v>
      </c>
      <c r="AV31" s="30" cm="1">
        <f t="array" ref="AV31">Comm_Parity_Nodes(AV11,AV26,AV27,AV12,AV13,AV10/AV18)</f>
        <v>4</v>
      </c>
      <c r="AW31" s="31" cm="1">
        <f t="array" ref="AW31">Comm_Parity_Nodes(AW11,AW26,AW27,AW12,AW13,AW10/AW18)</f>
        <v>4</v>
      </c>
    </row>
    <row r="32" spans="2:49" x14ac:dyDescent="0.35">
      <c r="B32" s="6" t="s">
        <v>35</v>
      </c>
      <c r="D32" s="29"/>
      <c r="E32" s="17"/>
      <c r="F32" s="17"/>
      <c r="G32" s="17"/>
      <c r="H32" s="29"/>
      <c r="I32" s="17"/>
      <c r="J32" s="17"/>
      <c r="K32" s="17"/>
      <c r="L32" s="29"/>
      <c r="M32" s="17"/>
      <c r="N32" s="17"/>
      <c r="O32" s="17"/>
      <c r="P32" s="29"/>
      <c r="Q32" s="17"/>
      <c r="R32" s="17"/>
      <c r="S32" s="17"/>
      <c r="T32" s="29"/>
      <c r="U32" s="17"/>
      <c r="V32" s="17"/>
      <c r="W32" s="17"/>
      <c r="X32" s="29"/>
      <c r="Y32" s="17"/>
      <c r="Z32" s="17"/>
      <c r="AA32" s="17"/>
      <c r="AB32" s="29"/>
      <c r="AC32" s="17"/>
      <c r="AD32" s="17"/>
      <c r="AE32" s="17"/>
      <c r="AF32" s="37"/>
      <c r="AG32" s="18"/>
      <c r="AH32" s="13"/>
      <c r="AI32" s="37"/>
      <c r="AJ32" s="18"/>
      <c r="AK32" s="18"/>
      <c r="AL32" s="18"/>
      <c r="AM32" s="18"/>
      <c r="AN32" s="18"/>
      <c r="AO32" s="18"/>
      <c r="AP32" s="29"/>
      <c r="AQ32" s="17"/>
      <c r="AR32" s="29"/>
      <c r="AS32" s="17"/>
      <c r="AT32" s="29"/>
      <c r="AU32" s="17"/>
      <c r="AV32" s="29"/>
      <c r="AW32" s="17"/>
    </row>
    <row r="33" spans="2:49" x14ac:dyDescent="0.35">
      <c r="B33" s="9" t="s">
        <v>36</v>
      </c>
      <c r="D33" s="26"/>
      <c r="H33" s="26"/>
      <c r="L33" s="26"/>
      <c r="P33" s="26"/>
      <c r="T33" s="26"/>
      <c r="X33" s="26"/>
      <c r="AB33" s="26"/>
      <c r="AF33" s="26"/>
      <c r="AI33" s="26"/>
      <c r="AP33" s="26"/>
      <c r="AR33" s="26"/>
      <c r="AT33" s="26"/>
      <c r="AV33" s="26"/>
    </row>
    <row r="34" spans="2:49" ht="15" thickBot="1" x14ac:dyDescent="0.4">
      <c r="B34" s="9" t="s">
        <v>56</v>
      </c>
      <c r="D34" s="38">
        <f>SUMPRODUCT(D18:G18, D29:G29) * 4  / 5 / 0.5/1000/1000</f>
        <v>6.7168255999999991</v>
      </c>
      <c r="E34" s="32"/>
      <c r="F34" s="32"/>
      <c r="G34" s="32"/>
      <c r="H34" s="38">
        <f>SUMPRODUCT(H18:K18, H29:K29) * 4  / 5 / 0.5/1000/1000</f>
        <v>6.0870655999999999</v>
      </c>
      <c r="I34" s="32"/>
      <c r="J34" s="32"/>
      <c r="K34" s="32"/>
      <c r="L34" s="38">
        <f>SUMPRODUCT(L18:O18, L29:O29) * 4  / 5 / 0.5/1000/1000</f>
        <v>5.7722879999999996</v>
      </c>
      <c r="M34" s="32"/>
      <c r="N34" s="32"/>
      <c r="O34" s="32"/>
      <c r="P34" s="38">
        <f>SUMPRODUCT(P18:S18, P29:S29) * 4  / 5 / 0.5/1000/1000</f>
        <v>5.4573055999999998</v>
      </c>
      <c r="Q34" s="32"/>
      <c r="R34" s="32"/>
      <c r="S34" s="32"/>
      <c r="T34" s="38">
        <f>SUMPRODUCT(T18:W18, T29:W29) * 4  / 5 / 0.5/1000/1000</f>
        <v>5.1406847999999998</v>
      </c>
      <c r="U34" s="32"/>
      <c r="V34" s="32"/>
      <c r="W34" s="32"/>
      <c r="X34" s="38">
        <f>SUMPRODUCT(X18:AA18, X29:AA29) * 4  / 5 / 0.5/1000/1000</f>
        <v>4.7212544000000003</v>
      </c>
      <c r="Y34" s="32"/>
      <c r="Z34" s="32"/>
      <c r="AA34" s="32"/>
      <c r="AB34" s="38">
        <f>SUMPRODUCT(AB18:AE18, AB29:AE29) * 4  / 5 / 0.5/1000/1000</f>
        <v>6.4014335999999989</v>
      </c>
      <c r="AC34" s="32"/>
      <c r="AD34" s="32"/>
      <c r="AE34" s="32"/>
      <c r="AF34" s="38">
        <f>SUMPRODUCT(AF18:AH18, AF29:AH29) * 4  / 5 / 0.5/1000/1000</f>
        <v>0.83870719999999999</v>
      </c>
      <c r="AG34" s="32"/>
      <c r="AH34" s="32"/>
      <c r="AI34" s="38">
        <f>SUMPRODUCT(AI18:AO18, AI29:AO29) * 4  / 5 / 0.5/1000/1000</f>
        <v>0.82711040000000002</v>
      </c>
      <c r="AJ34" s="32"/>
      <c r="AK34" s="32"/>
      <c r="AL34" s="32"/>
      <c r="AM34" s="32"/>
      <c r="AN34" s="32"/>
      <c r="AO34" s="32"/>
      <c r="AP34" s="38">
        <f>SUMPRODUCT(AP18:AQ18, AP29:AQ29) * 4  / 5 / 0.5/1000/1000</f>
        <v>6.7153919999999996</v>
      </c>
      <c r="AQ34" s="32"/>
      <c r="AR34" s="38">
        <f>SUMPRODUCT(AR18:AS18, AR29:AS29) * 4  / 5 / 0.5/1000/1000</f>
        <v>3.3584127999999995</v>
      </c>
      <c r="AS34" s="32"/>
      <c r="AT34" s="38">
        <f>SUMPRODUCT(AT18:AU18, AT29:AU29) * 4  / 5 / 0.5/1000/1000</f>
        <v>1.1272192000000001</v>
      </c>
      <c r="AU34" s="32"/>
      <c r="AV34" s="38">
        <f>SUMPRODUCT(AV18:AW18, AV29:AW29) * 4  / 5 / 0.5/1000/1000</f>
        <v>0.5508095999999999</v>
      </c>
      <c r="AW34" s="3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B1D6C-635C-4A7D-87B4-5CEA872BA1B3}">
  <dimension ref="B1:AT35"/>
  <sheetViews>
    <sheetView topLeftCell="U9" workbookViewId="0">
      <selection activeCell="AB34" sqref="AB3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  <col min="4" max="4" width="10.1796875" bestFit="1" customWidth="1"/>
    <col min="15" max="15" width="9.1796875" bestFit="1" customWidth="1"/>
  </cols>
  <sheetData>
    <row r="1" spans="2:46" ht="15" thickBot="1" x14ac:dyDescent="0.4"/>
    <row r="2" spans="2:46" x14ac:dyDescent="0.35">
      <c r="B2" s="2" t="s">
        <v>0</v>
      </c>
      <c r="C2" s="1"/>
      <c r="D2" s="21" t="s">
        <v>51</v>
      </c>
      <c r="E2" s="22"/>
      <c r="F2" s="22"/>
      <c r="G2" s="22"/>
      <c r="H2" s="21" t="s">
        <v>62</v>
      </c>
      <c r="I2" s="22"/>
      <c r="J2" s="22"/>
      <c r="K2" s="23"/>
      <c r="L2" s="21" t="s">
        <v>64</v>
      </c>
      <c r="M2" s="22"/>
      <c r="N2" s="22"/>
      <c r="O2" s="23"/>
      <c r="P2" s="21" t="s">
        <v>69</v>
      </c>
      <c r="Q2" s="22"/>
      <c r="R2" s="22"/>
      <c r="S2" s="23"/>
      <c r="T2" s="21" t="s">
        <v>70</v>
      </c>
      <c r="U2" s="22"/>
      <c r="V2" s="22"/>
      <c r="W2" s="23"/>
      <c r="X2" s="21" t="s">
        <v>71</v>
      </c>
      <c r="Y2" s="22"/>
      <c r="Z2" s="22"/>
      <c r="AA2" s="23"/>
      <c r="AB2" s="21" t="s">
        <v>76</v>
      </c>
      <c r="AC2" s="22"/>
      <c r="AD2" s="22"/>
      <c r="AE2" s="23"/>
      <c r="AF2" s="21" t="s">
        <v>52</v>
      </c>
      <c r="AG2" s="24"/>
      <c r="AH2" s="25"/>
      <c r="AI2" s="24" t="s">
        <v>53</v>
      </c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5"/>
    </row>
    <row r="3" spans="2:46" x14ac:dyDescent="0.35">
      <c r="B3" s="3" t="s">
        <v>3</v>
      </c>
      <c r="C3" s="1"/>
      <c r="D3" s="26">
        <v>100</v>
      </c>
      <c r="E3">
        <v>100</v>
      </c>
      <c r="F3">
        <v>100</v>
      </c>
      <c r="G3">
        <v>100</v>
      </c>
      <c r="H3" s="26">
        <v>100</v>
      </c>
      <c r="I3">
        <v>100</v>
      </c>
      <c r="J3">
        <v>100</v>
      </c>
      <c r="K3" s="19">
        <v>100</v>
      </c>
      <c r="L3" s="26">
        <v>100</v>
      </c>
      <c r="M3">
        <v>100</v>
      </c>
      <c r="N3">
        <v>100</v>
      </c>
      <c r="O3" s="19">
        <v>100</v>
      </c>
      <c r="P3" s="26">
        <v>100</v>
      </c>
      <c r="Q3">
        <v>100</v>
      </c>
      <c r="R3">
        <v>100</v>
      </c>
      <c r="S3" s="19">
        <v>100</v>
      </c>
      <c r="T3" s="26">
        <v>100</v>
      </c>
      <c r="U3">
        <v>100</v>
      </c>
      <c r="V3">
        <v>100</v>
      </c>
      <c r="W3" s="19">
        <v>100</v>
      </c>
      <c r="X3" s="26">
        <v>100</v>
      </c>
      <c r="Y3">
        <v>100</v>
      </c>
      <c r="Z3">
        <v>100</v>
      </c>
      <c r="AA3" s="19">
        <v>100</v>
      </c>
      <c r="AB3" s="26">
        <v>100</v>
      </c>
      <c r="AC3">
        <v>100</v>
      </c>
      <c r="AD3">
        <v>100</v>
      </c>
      <c r="AE3" s="19">
        <v>100</v>
      </c>
      <c r="AF3" s="26">
        <v>100</v>
      </c>
      <c r="AG3">
        <v>100</v>
      </c>
      <c r="AH3" s="19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 s="19">
        <v>100</v>
      </c>
    </row>
    <row r="4" spans="2:46" x14ac:dyDescent="0.35">
      <c r="B4" s="3" t="s">
        <v>4</v>
      </c>
      <c r="C4" s="1"/>
      <c r="D4" s="26">
        <v>273</v>
      </c>
      <c r="E4">
        <v>273</v>
      </c>
      <c r="F4">
        <v>273</v>
      </c>
      <c r="G4">
        <v>273</v>
      </c>
      <c r="H4" s="26">
        <v>273</v>
      </c>
      <c r="I4">
        <v>273</v>
      </c>
      <c r="J4">
        <v>273</v>
      </c>
      <c r="K4" s="19">
        <v>273</v>
      </c>
      <c r="L4" s="26">
        <v>273</v>
      </c>
      <c r="M4">
        <v>273</v>
      </c>
      <c r="N4">
        <v>273</v>
      </c>
      <c r="O4" s="19">
        <v>273</v>
      </c>
      <c r="P4" s="26">
        <v>273</v>
      </c>
      <c r="Q4">
        <v>273</v>
      </c>
      <c r="R4">
        <v>273</v>
      </c>
      <c r="S4" s="19">
        <v>273</v>
      </c>
      <c r="T4" s="26">
        <v>273</v>
      </c>
      <c r="U4">
        <v>273</v>
      </c>
      <c r="V4">
        <v>273</v>
      </c>
      <c r="W4" s="19">
        <v>273</v>
      </c>
      <c r="X4" s="26">
        <v>273</v>
      </c>
      <c r="Y4">
        <v>273</v>
      </c>
      <c r="Z4">
        <v>273</v>
      </c>
      <c r="AA4" s="19">
        <v>273</v>
      </c>
      <c r="AB4" s="26">
        <v>273</v>
      </c>
      <c r="AC4">
        <v>273</v>
      </c>
      <c r="AD4">
        <v>273</v>
      </c>
      <c r="AE4" s="19">
        <v>273</v>
      </c>
      <c r="AF4" s="26">
        <v>272</v>
      </c>
      <c r="AG4">
        <v>272</v>
      </c>
      <c r="AH4" s="19">
        <v>272</v>
      </c>
      <c r="AI4">
        <v>272</v>
      </c>
      <c r="AJ4">
        <v>272</v>
      </c>
      <c r="AK4">
        <v>272</v>
      </c>
      <c r="AL4">
        <v>272</v>
      </c>
      <c r="AM4">
        <v>272</v>
      </c>
      <c r="AN4">
        <v>272</v>
      </c>
      <c r="AO4">
        <v>272</v>
      </c>
      <c r="AP4">
        <v>272</v>
      </c>
      <c r="AQ4">
        <v>272</v>
      </c>
      <c r="AR4">
        <v>272</v>
      </c>
      <c r="AS4">
        <v>272</v>
      </c>
      <c r="AT4" s="19">
        <v>272</v>
      </c>
    </row>
    <row r="5" spans="2:46" x14ac:dyDescent="0.35">
      <c r="B5" s="3" t="s">
        <v>5</v>
      </c>
      <c r="D5" s="26">
        <v>272</v>
      </c>
      <c r="E5">
        <v>272</v>
      </c>
      <c r="F5">
        <v>272</v>
      </c>
      <c r="G5">
        <v>272</v>
      </c>
      <c r="H5" s="26">
        <v>272</v>
      </c>
      <c r="I5">
        <v>272</v>
      </c>
      <c r="J5">
        <v>272</v>
      </c>
      <c r="K5" s="19">
        <v>272</v>
      </c>
      <c r="L5" s="26">
        <v>272</v>
      </c>
      <c r="M5">
        <v>272</v>
      </c>
      <c r="N5">
        <v>272</v>
      </c>
      <c r="O5" s="19">
        <v>272</v>
      </c>
      <c r="P5" s="26">
        <v>272</v>
      </c>
      <c r="Q5">
        <v>272</v>
      </c>
      <c r="R5">
        <v>272</v>
      </c>
      <c r="S5" s="19">
        <v>272</v>
      </c>
      <c r="T5" s="26">
        <v>272</v>
      </c>
      <c r="U5">
        <v>272</v>
      </c>
      <c r="V5">
        <v>272</v>
      </c>
      <c r="W5" s="19">
        <v>272</v>
      </c>
      <c r="X5" s="26">
        <v>272</v>
      </c>
      <c r="Y5">
        <v>272</v>
      </c>
      <c r="Z5">
        <v>272</v>
      </c>
      <c r="AA5" s="19">
        <v>272</v>
      </c>
      <c r="AB5" s="26">
        <v>272</v>
      </c>
      <c r="AC5">
        <v>272</v>
      </c>
      <c r="AD5">
        <v>272</v>
      </c>
      <c r="AE5" s="19">
        <v>272</v>
      </c>
      <c r="AF5" s="26">
        <v>96</v>
      </c>
      <c r="AG5">
        <v>96</v>
      </c>
      <c r="AH5" s="19">
        <v>96</v>
      </c>
      <c r="AI5">
        <v>96</v>
      </c>
      <c r="AJ5">
        <v>96</v>
      </c>
      <c r="AK5">
        <v>96</v>
      </c>
      <c r="AL5">
        <v>96</v>
      </c>
      <c r="AM5">
        <v>96</v>
      </c>
      <c r="AN5">
        <v>96</v>
      </c>
      <c r="AO5">
        <v>96</v>
      </c>
      <c r="AP5">
        <v>96</v>
      </c>
      <c r="AQ5">
        <v>96</v>
      </c>
      <c r="AR5">
        <v>96</v>
      </c>
      <c r="AS5">
        <v>96</v>
      </c>
      <c r="AT5" s="19">
        <v>96</v>
      </c>
    </row>
    <row r="6" spans="2:46" x14ac:dyDescent="0.35">
      <c r="B6" s="3" t="s">
        <v>6</v>
      </c>
      <c r="C6" s="1"/>
      <c r="D6" s="26">
        <v>1</v>
      </c>
      <c r="E6">
        <v>2</v>
      </c>
      <c r="F6">
        <v>3</v>
      </c>
      <c r="G6">
        <v>4</v>
      </c>
      <c r="H6" s="26">
        <v>1</v>
      </c>
      <c r="I6">
        <v>2</v>
      </c>
      <c r="J6">
        <v>3</v>
      </c>
      <c r="K6" s="19">
        <v>4</v>
      </c>
      <c r="L6" s="26">
        <v>1</v>
      </c>
      <c r="M6">
        <v>2</v>
      </c>
      <c r="N6">
        <v>3</v>
      </c>
      <c r="O6" s="19">
        <v>4</v>
      </c>
      <c r="P6" s="26">
        <v>1</v>
      </c>
      <c r="Q6">
        <v>2</v>
      </c>
      <c r="R6">
        <v>3</v>
      </c>
      <c r="S6" s="19">
        <v>4</v>
      </c>
      <c r="T6" s="26">
        <v>1</v>
      </c>
      <c r="U6">
        <v>2</v>
      </c>
      <c r="V6">
        <v>3</v>
      </c>
      <c r="W6" s="19">
        <v>4</v>
      </c>
      <c r="X6" s="26">
        <v>1</v>
      </c>
      <c r="Y6">
        <v>2</v>
      </c>
      <c r="Z6">
        <v>3</v>
      </c>
      <c r="AA6" s="19">
        <v>4</v>
      </c>
      <c r="AB6" s="26">
        <v>1</v>
      </c>
      <c r="AC6">
        <v>2</v>
      </c>
      <c r="AD6">
        <v>3</v>
      </c>
      <c r="AE6" s="19">
        <v>4</v>
      </c>
      <c r="AF6" s="26">
        <v>1</v>
      </c>
      <c r="AG6">
        <v>2</v>
      </c>
      <c r="AH6" s="19">
        <v>3</v>
      </c>
      <c r="AI6">
        <v>1</v>
      </c>
      <c r="AJ6">
        <v>2</v>
      </c>
      <c r="AK6">
        <v>3</v>
      </c>
      <c r="AL6">
        <v>4</v>
      </c>
      <c r="AM6">
        <v>5</v>
      </c>
      <c r="AN6">
        <v>6</v>
      </c>
      <c r="AO6">
        <v>7</v>
      </c>
      <c r="AP6">
        <v>8</v>
      </c>
      <c r="AQ6">
        <v>9</v>
      </c>
      <c r="AR6">
        <v>10</v>
      </c>
      <c r="AS6">
        <v>11</v>
      </c>
      <c r="AT6" s="19">
        <v>12</v>
      </c>
    </row>
    <row r="7" spans="2:46" x14ac:dyDescent="0.35">
      <c r="B7" s="3" t="s">
        <v>7</v>
      </c>
      <c r="C7" s="1"/>
      <c r="D7" s="27">
        <f>D11/D5</f>
        <v>0.25</v>
      </c>
      <c r="E7" s="14">
        <f t="shared" ref="E7:G7" si="0">E11/E5</f>
        <v>0.25</v>
      </c>
      <c r="F7" s="14">
        <f t="shared" si="0"/>
        <v>0.25</v>
      </c>
      <c r="G7" s="14">
        <f t="shared" si="0"/>
        <v>0.25</v>
      </c>
      <c r="H7" s="27">
        <f>H11/H5</f>
        <v>0.22426470588235295</v>
      </c>
      <c r="I7" s="14">
        <f t="shared" ref="I7:K7" si="1">I11/I5</f>
        <v>0.22426470588235295</v>
      </c>
      <c r="J7" s="14">
        <f t="shared" si="1"/>
        <v>0.22426470588235295</v>
      </c>
      <c r="K7" s="15">
        <f t="shared" si="1"/>
        <v>0.22426470588235295</v>
      </c>
      <c r="L7" s="27">
        <f>L11/L5</f>
        <v>0.21323529411764705</v>
      </c>
      <c r="M7" s="14">
        <f t="shared" ref="M7:O7" si="2">M11/M5</f>
        <v>0.21323529411764705</v>
      </c>
      <c r="N7" s="14">
        <f t="shared" si="2"/>
        <v>0.21323529411764705</v>
      </c>
      <c r="O7" s="15">
        <f t="shared" si="2"/>
        <v>0.21323529411764705</v>
      </c>
      <c r="P7" s="27">
        <f>P11/P5</f>
        <v>0.19852941176470587</v>
      </c>
      <c r="Q7" s="14">
        <f t="shared" ref="Q7:S7" si="3">Q11/Q5</f>
        <v>0.19852941176470587</v>
      </c>
      <c r="R7" s="14">
        <f t="shared" si="3"/>
        <v>0.19852941176470587</v>
      </c>
      <c r="S7" s="15">
        <f t="shared" si="3"/>
        <v>0.19852941176470587</v>
      </c>
      <c r="T7" s="27">
        <f>T11/T5</f>
        <v>0.1875</v>
      </c>
      <c r="U7" s="14">
        <f t="shared" ref="U7:W7" si="4">U11/U5</f>
        <v>0.1875</v>
      </c>
      <c r="V7" s="14">
        <f t="shared" si="4"/>
        <v>0.1875</v>
      </c>
      <c r="W7" s="15">
        <f t="shared" si="4"/>
        <v>0.1875</v>
      </c>
      <c r="X7" s="27">
        <f>X11/X5</f>
        <v>0.17279411764705882</v>
      </c>
      <c r="Y7" s="14">
        <f t="shared" ref="Y7:AA7" si="5">Y11/Y5</f>
        <v>0.17279411764705882</v>
      </c>
      <c r="Z7" s="14">
        <f t="shared" si="5"/>
        <v>0.17279411764705882</v>
      </c>
      <c r="AA7" s="15">
        <f t="shared" si="5"/>
        <v>0.17279411764705882</v>
      </c>
      <c r="AB7" s="27">
        <f>AB11/AB5</f>
        <v>0.23529411764705882</v>
      </c>
      <c r="AC7" s="14">
        <f t="shared" ref="AC7:AE7" si="6">AC11/AC5</f>
        <v>0.23529411764705882</v>
      </c>
      <c r="AD7" s="14">
        <f t="shared" si="6"/>
        <v>0.23529411764705882</v>
      </c>
      <c r="AE7" s="15">
        <f t="shared" si="6"/>
        <v>0.23529411764705882</v>
      </c>
      <c r="AF7" s="39">
        <f>AF11/AF5</f>
        <v>0.33333333333333331</v>
      </c>
      <c r="AG7" s="10">
        <f t="shared" ref="AG7:AT7" si="7">AG11/AG5</f>
        <v>0.41666666666666669</v>
      </c>
      <c r="AH7" s="20">
        <f t="shared" si="7"/>
        <v>0.25</v>
      </c>
      <c r="AI7" s="10">
        <f t="shared" si="7"/>
        <v>8.3333333333333329E-2</v>
      </c>
      <c r="AJ7" s="10">
        <f t="shared" si="7"/>
        <v>8.3333333333333329E-2</v>
      </c>
      <c r="AK7" s="10">
        <f t="shared" si="7"/>
        <v>8.3333333333333329E-2</v>
      </c>
      <c r="AL7" s="10">
        <f t="shared" si="7"/>
        <v>8.3333333333333329E-2</v>
      </c>
      <c r="AM7" s="10">
        <f t="shared" si="7"/>
        <v>8.3333333333333329E-2</v>
      </c>
      <c r="AN7" s="10">
        <f t="shared" si="7"/>
        <v>8.3333333333333329E-2</v>
      </c>
      <c r="AO7" s="10">
        <f t="shared" si="7"/>
        <v>8.3333333333333329E-2</v>
      </c>
      <c r="AP7" s="10">
        <f t="shared" si="7"/>
        <v>8.3333333333333329E-2</v>
      </c>
      <c r="AQ7" s="10">
        <f t="shared" si="7"/>
        <v>8.3333333333333329E-2</v>
      </c>
      <c r="AR7" s="10">
        <f t="shared" si="7"/>
        <v>8.3333333333333329E-2</v>
      </c>
      <c r="AS7" s="10">
        <f t="shared" si="7"/>
        <v>8.3333333333333329E-2</v>
      </c>
      <c r="AT7" s="20">
        <f t="shared" si="7"/>
        <v>8.3333333333333329E-2</v>
      </c>
    </row>
    <row r="8" spans="2:46" x14ac:dyDescent="0.35">
      <c r="B8" s="4" t="s">
        <v>8</v>
      </c>
      <c r="C8" s="1"/>
      <c r="D8" s="26">
        <v>1</v>
      </c>
      <c r="E8">
        <v>1</v>
      </c>
      <c r="F8">
        <v>1</v>
      </c>
      <c r="G8">
        <v>1</v>
      </c>
      <c r="H8" s="26">
        <v>1</v>
      </c>
      <c r="I8">
        <v>1</v>
      </c>
      <c r="J8">
        <v>1</v>
      </c>
      <c r="K8" s="19">
        <v>1</v>
      </c>
      <c r="L8" s="26">
        <v>1</v>
      </c>
      <c r="M8">
        <v>1</v>
      </c>
      <c r="N8">
        <v>1</v>
      </c>
      <c r="O8" s="19">
        <v>1</v>
      </c>
      <c r="P8" s="26">
        <v>1</v>
      </c>
      <c r="Q8">
        <v>1</v>
      </c>
      <c r="R8">
        <v>1</v>
      </c>
      <c r="S8" s="19">
        <v>1</v>
      </c>
      <c r="T8" s="26">
        <v>1</v>
      </c>
      <c r="U8">
        <v>1</v>
      </c>
      <c r="V8">
        <v>1</v>
      </c>
      <c r="W8" s="19">
        <v>1</v>
      </c>
      <c r="X8" s="26">
        <v>1</v>
      </c>
      <c r="Y8">
        <v>1</v>
      </c>
      <c r="Z8">
        <v>1</v>
      </c>
      <c r="AA8" s="19">
        <v>1</v>
      </c>
      <c r="AB8" s="26">
        <v>1</v>
      </c>
      <c r="AC8">
        <v>1</v>
      </c>
      <c r="AD8">
        <v>1</v>
      </c>
      <c r="AE8" s="19">
        <v>1</v>
      </c>
      <c r="AF8" s="26">
        <v>1</v>
      </c>
      <c r="AG8">
        <v>1</v>
      </c>
      <c r="AH8" s="19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 s="19">
        <v>1</v>
      </c>
    </row>
    <row r="9" spans="2:46" x14ac:dyDescent="0.35">
      <c r="B9" s="4" t="s">
        <v>9</v>
      </c>
      <c r="C9" s="1"/>
      <c r="D9" s="26">
        <v>16</v>
      </c>
      <c r="E9">
        <v>16</v>
      </c>
      <c r="F9">
        <v>16</v>
      </c>
      <c r="G9">
        <v>16</v>
      </c>
      <c r="H9" s="26">
        <v>16</v>
      </c>
      <c r="I9">
        <v>16</v>
      </c>
      <c r="J9">
        <v>16</v>
      </c>
      <c r="K9" s="19">
        <v>16</v>
      </c>
      <c r="L9" s="26">
        <v>16</v>
      </c>
      <c r="M9">
        <v>16</v>
      </c>
      <c r="N9">
        <v>16</v>
      </c>
      <c r="O9" s="19">
        <v>16</v>
      </c>
      <c r="P9" s="26">
        <v>16</v>
      </c>
      <c r="Q9">
        <v>16</v>
      </c>
      <c r="R9">
        <v>16</v>
      </c>
      <c r="S9" s="19">
        <v>16</v>
      </c>
      <c r="T9" s="26">
        <v>16</v>
      </c>
      <c r="U9">
        <v>16</v>
      </c>
      <c r="V9">
        <v>16</v>
      </c>
      <c r="W9" s="19">
        <v>16</v>
      </c>
      <c r="X9" s="26">
        <v>16</v>
      </c>
      <c r="Y9">
        <v>16</v>
      </c>
      <c r="Z9">
        <v>16</v>
      </c>
      <c r="AA9" s="19">
        <v>16</v>
      </c>
      <c r="AB9" s="26">
        <v>16</v>
      </c>
      <c r="AC9">
        <v>16</v>
      </c>
      <c r="AD9">
        <v>16</v>
      </c>
      <c r="AE9" s="19">
        <v>16</v>
      </c>
      <c r="AF9" s="26">
        <v>16</v>
      </c>
      <c r="AG9">
        <v>16</v>
      </c>
      <c r="AH9" s="19">
        <v>16</v>
      </c>
      <c r="AI9">
        <v>16</v>
      </c>
      <c r="AJ9">
        <v>16</v>
      </c>
      <c r="AK9">
        <v>16</v>
      </c>
      <c r="AL9">
        <v>16</v>
      </c>
      <c r="AM9">
        <v>16</v>
      </c>
      <c r="AN9">
        <v>16</v>
      </c>
      <c r="AO9">
        <v>16</v>
      </c>
      <c r="AP9">
        <v>16</v>
      </c>
      <c r="AQ9">
        <v>16</v>
      </c>
      <c r="AR9">
        <v>16</v>
      </c>
      <c r="AS9">
        <v>16</v>
      </c>
      <c r="AT9" s="19">
        <v>16</v>
      </c>
    </row>
    <row r="10" spans="2:46" x14ac:dyDescent="0.35">
      <c r="B10" s="4" t="s">
        <v>10</v>
      </c>
      <c r="C10" s="1"/>
      <c r="D10" s="26">
        <v>8</v>
      </c>
      <c r="E10">
        <v>8</v>
      </c>
      <c r="F10">
        <v>8</v>
      </c>
      <c r="G10">
        <v>8</v>
      </c>
      <c r="H10" s="26">
        <v>8</v>
      </c>
      <c r="I10">
        <v>8</v>
      </c>
      <c r="J10">
        <v>8</v>
      </c>
      <c r="K10" s="19">
        <v>8</v>
      </c>
      <c r="L10" s="26">
        <v>8</v>
      </c>
      <c r="M10">
        <v>8</v>
      </c>
      <c r="N10">
        <v>8</v>
      </c>
      <c r="O10" s="19">
        <v>8</v>
      </c>
      <c r="P10" s="26">
        <v>8</v>
      </c>
      <c r="Q10">
        <v>8</v>
      </c>
      <c r="R10">
        <v>8</v>
      </c>
      <c r="S10" s="19">
        <v>8</v>
      </c>
      <c r="T10" s="26">
        <v>8</v>
      </c>
      <c r="U10">
        <v>8</v>
      </c>
      <c r="V10">
        <v>8</v>
      </c>
      <c r="W10" s="19">
        <v>8</v>
      </c>
      <c r="X10" s="26">
        <v>8</v>
      </c>
      <c r="Y10">
        <v>8</v>
      </c>
      <c r="Z10">
        <v>8</v>
      </c>
      <c r="AA10" s="19">
        <v>8</v>
      </c>
      <c r="AB10" s="26">
        <v>8</v>
      </c>
      <c r="AC10">
        <v>8</v>
      </c>
      <c r="AD10">
        <v>8</v>
      </c>
      <c r="AE10" s="19">
        <v>8</v>
      </c>
      <c r="AF10" s="26">
        <v>8</v>
      </c>
      <c r="AG10">
        <v>2</v>
      </c>
      <c r="AH10" s="19">
        <v>1</v>
      </c>
      <c r="AI10">
        <v>8</v>
      </c>
      <c r="AJ10">
        <v>8</v>
      </c>
      <c r="AK10">
        <v>8</v>
      </c>
      <c r="AL10">
        <v>8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1</v>
      </c>
      <c r="AS10">
        <v>1</v>
      </c>
      <c r="AT10" s="19">
        <v>1</v>
      </c>
    </row>
    <row r="11" spans="2:46" x14ac:dyDescent="0.35">
      <c r="B11" s="3" t="s">
        <v>11</v>
      </c>
      <c r="C11" s="1"/>
      <c r="D11" s="28">
        <v>68</v>
      </c>
      <c r="E11" s="1">
        <v>68</v>
      </c>
      <c r="F11" s="1">
        <v>68</v>
      </c>
      <c r="G11" s="1">
        <v>68</v>
      </c>
      <c r="H11" s="28">
        <v>61</v>
      </c>
      <c r="I11" s="1">
        <v>61</v>
      </c>
      <c r="J11" s="1">
        <v>61</v>
      </c>
      <c r="K11" s="1">
        <v>61</v>
      </c>
      <c r="L11" s="28">
        <v>58</v>
      </c>
      <c r="M11" s="1">
        <v>58</v>
      </c>
      <c r="N11" s="1">
        <v>58</v>
      </c>
      <c r="O11" s="1">
        <v>58</v>
      </c>
      <c r="P11" s="28">
        <v>54</v>
      </c>
      <c r="Q11" s="1">
        <v>54</v>
      </c>
      <c r="R11" s="1">
        <v>54</v>
      </c>
      <c r="S11" s="1">
        <v>54</v>
      </c>
      <c r="T11" s="28">
        <v>51</v>
      </c>
      <c r="U11" s="1">
        <v>51</v>
      </c>
      <c r="V11" s="1">
        <v>51</v>
      </c>
      <c r="W11" s="1">
        <v>51</v>
      </c>
      <c r="X11" s="28">
        <v>47</v>
      </c>
      <c r="Y11" s="1">
        <v>47</v>
      </c>
      <c r="Z11" s="1">
        <v>47</v>
      </c>
      <c r="AA11" s="1">
        <v>47</v>
      </c>
      <c r="AB11" s="28">
        <v>64</v>
      </c>
      <c r="AC11" s="1">
        <v>64</v>
      </c>
      <c r="AD11" s="1">
        <v>64</v>
      </c>
      <c r="AE11" s="1">
        <v>64</v>
      </c>
      <c r="AF11" s="26">
        <v>32</v>
      </c>
      <c r="AG11">
        <v>40</v>
      </c>
      <c r="AH11" s="19">
        <v>24</v>
      </c>
      <c r="AI11">
        <v>8</v>
      </c>
      <c r="AJ11">
        <v>8</v>
      </c>
      <c r="AK11">
        <v>8</v>
      </c>
      <c r="AL11">
        <v>8</v>
      </c>
      <c r="AM11">
        <v>8</v>
      </c>
      <c r="AN11">
        <v>8</v>
      </c>
      <c r="AO11">
        <v>8</v>
      </c>
      <c r="AP11">
        <v>8</v>
      </c>
      <c r="AQ11">
        <v>8</v>
      </c>
      <c r="AR11">
        <v>8</v>
      </c>
      <c r="AS11">
        <v>8</v>
      </c>
      <c r="AT11" s="19">
        <v>8</v>
      </c>
    </row>
    <row r="12" spans="2:46" x14ac:dyDescent="0.35">
      <c r="B12" s="3" t="s">
        <v>39</v>
      </c>
      <c r="C12" s="1"/>
      <c r="D12" s="28">
        <v>14</v>
      </c>
      <c r="E12" s="1">
        <v>14</v>
      </c>
      <c r="F12" s="1">
        <v>14</v>
      </c>
      <c r="G12" s="1">
        <v>14</v>
      </c>
      <c r="H12" s="28">
        <v>14</v>
      </c>
      <c r="I12" s="1">
        <v>14</v>
      </c>
      <c r="J12" s="1">
        <v>14</v>
      </c>
      <c r="K12" s="11">
        <v>14</v>
      </c>
      <c r="L12" s="28">
        <v>14</v>
      </c>
      <c r="M12" s="1">
        <v>14</v>
      </c>
      <c r="N12" s="1">
        <v>14</v>
      </c>
      <c r="O12" s="11">
        <v>14</v>
      </c>
      <c r="P12" s="28">
        <v>14</v>
      </c>
      <c r="Q12" s="1">
        <v>14</v>
      </c>
      <c r="R12" s="1">
        <v>14</v>
      </c>
      <c r="S12" s="11">
        <v>14</v>
      </c>
      <c r="T12" s="28">
        <v>14</v>
      </c>
      <c r="U12" s="1">
        <v>14</v>
      </c>
      <c r="V12" s="1">
        <v>14</v>
      </c>
      <c r="W12" s="11">
        <v>14</v>
      </c>
      <c r="X12" s="28">
        <v>14</v>
      </c>
      <c r="Y12" s="1">
        <v>14</v>
      </c>
      <c r="Z12" s="1">
        <v>14</v>
      </c>
      <c r="AA12" s="11">
        <v>14</v>
      </c>
      <c r="AB12" s="28">
        <v>14</v>
      </c>
      <c r="AC12" s="1">
        <v>14</v>
      </c>
      <c r="AD12" s="1">
        <v>14</v>
      </c>
      <c r="AE12" s="11">
        <v>14</v>
      </c>
      <c r="AF12" s="26">
        <v>14</v>
      </c>
      <c r="AG12">
        <v>14</v>
      </c>
      <c r="AH12" s="19">
        <v>14</v>
      </c>
      <c r="AI12">
        <v>14</v>
      </c>
      <c r="AJ12">
        <v>14</v>
      </c>
      <c r="AK12">
        <v>14</v>
      </c>
      <c r="AL12">
        <v>14</v>
      </c>
      <c r="AM12">
        <v>14</v>
      </c>
      <c r="AN12">
        <v>14</v>
      </c>
      <c r="AO12">
        <v>14</v>
      </c>
      <c r="AP12">
        <v>14</v>
      </c>
      <c r="AQ12">
        <v>14</v>
      </c>
      <c r="AR12">
        <v>14</v>
      </c>
      <c r="AS12">
        <v>14</v>
      </c>
      <c r="AT12" s="19">
        <v>14</v>
      </c>
    </row>
    <row r="13" spans="2:46" x14ac:dyDescent="0.35">
      <c r="B13" s="3" t="s">
        <v>40</v>
      </c>
      <c r="C13" s="1"/>
      <c r="D13" s="28">
        <v>2</v>
      </c>
      <c r="E13" s="1">
        <v>2</v>
      </c>
      <c r="F13" s="1">
        <v>2</v>
      </c>
      <c r="G13" s="1">
        <v>2</v>
      </c>
      <c r="H13" s="28">
        <v>2</v>
      </c>
      <c r="I13" s="1">
        <v>2</v>
      </c>
      <c r="J13" s="1">
        <v>2</v>
      </c>
      <c r="K13" s="11">
        <v>2</v>
      </c>
      <c r="L13" s="28">
        <v>2</v>
      </c>
      <c r="M13" s="1">
        <v>2</v>
      </c>
      <c r="N13" s="1">
        <v>2</v>
      </c>
      <c r="O13" s="11">
        <v>2</v>
      </c>
      <c r="P13" s="28">
        <v>2</v>
      </c>
      <c r="Q13" s="1">
        <v>2</v>
      </c>
      <c r="R13" s="1">
        <v>2</v>
      </c>
      <c r="S13" s="11">
        <v>2</v>
      </c>
      <c r="T13" s="28">
        <v>2</v>
      </c>
      <c r="U13" s="1">
        <v>2</v>
      </c>
      <c r="V13" s="1">
        <v>2</v>
      </c>
      <c r="W13" s="11">
        <v>2</v>
      </c>
      <c r="X13" s="28">
        <v>2</v>
      </c>
      <c r="Y13" s="1">
        <v>2</v>
      </c>
      <c r="Z13" s="1">
        <v>2</v>
      </c>
      <c r="AA13" s="11">
        <v>2</v>
      </c>
      <c r="AB13" s="28">
        <v>2</v>
      </c>
      <c r="AC13" s="1">
        <v>2</v>
      </c>
      <c r="AD13" s="1">
        <v>2</v>
      </c>
      <c r="AE13" s="11">
        <v>2</v>
      </c>
      <c r="AF13" s="26">
        <v>2</v>
      </c>
      <c r="AG13">
        <v>2</v>
      </c>
      <c r="AH13" s="19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2</v>
      </c>
      <c r="AT13" s="19">
        <v>2</v>
      </c>
    </row>
    <row r="14" spans="2:46" x14ac:dyDescent="0.35">
      <c r="B14" s="5" t="s">
        <v>14</v>
      </c>
      <c r="C14" s="1"/>
      <c r="D14" s="28">
        <v>2</v>
      </c>
      <c r="E14" s="1">
        <v>2</v>
      </c>
      <c r="F14" s="1">
        <v>2</v>
      </c>
      <c r="G14" s="1">
        <v>2</v>
      </c>
      <c r="H14" s="28">
        <v>2</v>
      </c>
      <c r="I14" s="1">
        <v>2</v>
      </c>
      <c r="J14" s="1">
        <v>2</v>
      </c>
      <c r="K14" s="11">
        <v>2</v>
      </c>
      <c r="L14" s="28">
        <v>2</v>
      </c>
      <c r="M14" s="1">
        <v>2</v>
      </c>
      <c r="N14" s="1">
        <v>2</v>
      </c>
      <c r="O14" s="11">
        <v>2</v>
      </c>
      <c r="P14" s="28">
        <v>2</v>
      </c>
      <c r="Q14" s="1">
        <v>2</v>
      </c>
      <c r="R14" s="1">
        <v>2</v>
      </c>
      <c r="S14" s="11">
        <v>2</v>
      </c>
      <c r="T14" s="28">
        <v>2</v>
      </c>
      <c r="U14" s="1">
        <v>2</v>
      </c>
      <c r="V14" s="1">
        <v>2</v>
      </c>
      <c r="W14" s="11">
        <v>2</v>
      </c>
      <c r="X14" s="28">
        <v>2</v>
      </c>
      <c r="Y14" s="1">
        <v>2</v>
      </c>
      <c r="Z14" s="1">
        <v>2</v>
      </c>
      <c r="AA14" s="11">
        <v>2</v>
      </c>
      <c r="AB14" s="28">
        <v>2</v>
      </c>
      <c r="AC14" s="1">
        <v>2</v>
      </c>
      <c r="AD14" s="1">
        <v>2</v>
      </c>
      <c r="AE14" s="11">
        <v>2</v>
      </c>
      <c r="AF14" s="26">
        <v>2</v>
      </c>
      <c r="AG14">
        <v>2</v>
      </c>
      <c r="AH14" s="19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 s="19">
        <v>2</v>
      </c>
    </row>
    <row r="15" spans="2:46" x14ac:dyDescent="0.35">
      <c r="B15" s="5" t="s">
        <v>15</v>
      </c>
      <c r="C15" s="1"/>
      <c r="D15" s="28">
        <v>0</v>
      </c>
      <c r="E15" s="1">
        <v>0</v>
      </c>
      <c r="F15" s="1">
        <v>0</v>
      </c>
      <c r="G15" s="1">
        <v>0</v>
      </c>
      <c r="H15" s="28">
        <v>0</v>
      </c>
      <c r="I15" s="1">
        <v>0</v>
      </c>
      <c r="J15" s="1">
        <v>0</v>
      </c>
      <c r="K15" s="11">
        <v>0</v>
      </c>
      <c r="L15" s="28">
        <v>0</v>
      </c>
      <c r="M15" s="1">
        <v>0</v>
      </c>
      <c r="N15" s="1">
        <v>0</v>
      </c>
      <c r="O15" s="11">
        <v>0</v>
      </c>
      <c r="P15" s="28">
        <v>0</v>
      </c>
      <c r="Q15" s="1">
        <v>0</v>
      </c>
      <c r="R15" s="1">
        <v>0</v>
      </c>
      <c r="S15" s="11">
        <v>0</v>
      </c>
      <c r="T15" s="28">
        <v>0</v>
      </c>
      <c r="U15" s="1">
        <v>0</v>
      </c>
      <c r="V15" s="1">
        <v>0</v>
      </c>
      <c r="W15" s="11">
        <v>0</v>
      </c>
      <c r="X15" s="28">
        <v>0</v>
      </c>
      <c r="Y15" s="1">
        <v>0</v>
      </c>
      <c r="Z15" s="1">
        <v>0</v>
      </c>
      <c r="AA15" s="11">
        <v>0</v>
      </c>
      <c r="AB15" s="28">
        <v>0</v>
      </c>
      <c r="AC15" s="1">
        <v>0</v>
      </c>
      <c r="AD15" s="1">
        <v>0</v>
      </c>
      <c r="AE15" s="11">
        <v>0</v>
      </c>
      <c r="AF15" s="26">
        <v>0</v>
      </c>
      <c r="AG15">
        <v>0</v>
      </c>
      <c r="AH15" s="19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 s="19">
        <v>0</v>
      </c>
    </row>
    <row r="16" spans="2:46" x14ac:dyDescent="0.35">
      <c r="B16" s="3" t="s">
        <v>16</v>
      </c>
      <c r="C16" s="1"/>
      <c r="D16" s="28">
        <v>2</v>
      </c>
      <c r="E16" s="1">
        <v>2</v>
      </c>
      <c r="F16" s="1">
        <v>2</v>
      </c>
      <c r="G16" s="1">
        <v>2</v>
      </c>
      <c r="H16" s="28">
        <v>2</v>
      </c>
      <c r="I16" s="1">
        <v>2</v>
      </c>
      <c r="J16" s="1">
        <v>2</v>
      </c>
      <c r="K16" s="11">
        <v>2</v>
      </c>
      <c r="L16" s="28">
        <v>2</v>
      </c>
      <c r="M16" s="1">
        <v>2</v>
      </c>
      <c r="N16" s="1">
        <v>2</v>
      </c>
      <c r="O16" s="11">
        <v>2</v>
      </c>
      <c r="P16" s="28">
        <v>2</v>
      </c>
      <c r="Q16" s="1">
        <v>2</v>
      </c>
      <c r="R16" s="1">
        <v>2</v>
      </c>
      <c r="S16" s="11">
        <v>2</v>
      </c>
      <c r="T16" s="28">
        <v>2</v>
      </c>
      <c r="U16" s="1">
        <v>2</v>
      </c>
      <c r="V16" s="1">
        <v>2</v>
      </c>
      <c r="W16" s="11">
        <v>2</v>
      </c>
      <c r="X16" s="28">
        <v>2</v>
      </c>
      <c r="Y16" s="1">
        <v>2</v>
      </c>
      <c r="Z16" s="1">
        <v>2</v>
      </c>
      <c r="AA16" s="11">
        <v>2</v>
      </c>
      <c r="AB16" s="28">
        <v>2</v>
      </c>
      <c r="AC16" s="1">
        <v>2</v>
      </c>
      <c r="AD16" s="1">
        <v>2</v>
      </c>
      <c r="AE16" s="11">
        <v>2</v>
      </c>
      <c r="AF16" s="26">
        <v>2</v>
      </c>
      <c r="AG16">
        <v>2</v>
      </c>
      <c r="AH16" s="19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 s="19">
        <v>2</v>
      </c>
    </row>
    <row r="17" spans="2:46" x14ac:dyDescent="0.35">
      <c r="B17" s="3" t="s">
        <v>17</v>
      </c>
      <c r="C17" s="1"/>
      <c r="D17" s="28">
        <v>27</v>
      </c>
      <c r="E17" s="1">
        <v>27</v>
      </c>
      <c r="F17" s="1">
        <v>27</v>
      </c>
      <c r="G17" s="1">
        <v>27</v>
      </c>
      <c r="H17" s="28">
        <v>27</v>
      </c>
      <c r="I17" s="1">
        <v>27</v>
      </c>
      <c r="J17" s="1">
        <v>27</v>
      </c>
      <c r="K17" s="11">
        <v>27</v>
      </c>
      <c r="L17" s="28">
        <v>27</v>
      </c>
      <c r="M17" s="1">
        <v>27</v>
      </c>
      <c r="N17" s="1">
        <v>27</v>
      </c>
      <c r="O17" s="11">
        <v>27</v>
      </c>
      <c r="P17" s="28">
        <v>27</v>
      </c>
      <c r="Q17" s="1">
        <v>27</v>
      </c>
      <c r="R17" s="1">
        <v>27</v>
      </c>
      <c r="S17" s="11">
        <v>27</v>
      </c>
      <c r="T17" s="28">
        <v>27</v>
      </c>
      <c r="U17" s="1">
        <v>27</v>
      </c>
      <c r="V17" s="1">
        <v>27</v>
      </c>
      <c r="W17" s="11">
        <v>27</v>
      </c>
      <c r="X17" s="28">
        <v>27</v>
      </c>
      <c r="Y17" s="1">
        <v>27</v>
      </c>
      <c r="Z17" s="1">
        <v>27</v>
      </c>
      <c r="AA17" s="11">
        <v>27</v>
      </c>
      <c r="AB17" s="28">
        <v>27</v>
      </c>
      <c r="AC17" s="1">
        <v>27</v>
      </c>
      <c r="AD17" s="1">
        <v>27</v>
      </c>
      <c r="AE17" s="11">
        <v>27</v>
      </c>
      <c r="AF17" s="26">
        <v>24</v>
      </c>
      <c r="AG17">
        <v>13</v>
      </c>
      <c r="AH17" s="19">
        <v>7</v>
      </c>
      <c r="AI17">
        <v>24</v>
      </c>
      <c r="AJ17">
        <v>24</v>
      </c>
      <c r="AK17">
        <v>24</v>
      </c>
      <c r="AL17">
        <v>24</v>
      </c>
      <c r="AM17">
        <v>13</v>
      </c>
      <c r="AN17">
        <v>13</v>
      </c>
      <c r="AO17">
        <v>13</v>
      </c>
      <c r="AP17">
        <v>13</v>
      </c>
      <c r="AQ17">
        <v>13</v>
      </c>
      <c r="AR17">
        <v>7</v>
      </c>
      <c r="AS17">
        <v>7</v>
      </c>
      <c r="AT17" s="19">
        <v>7</v>
      </c>
    </row>
    <row r="18" spans="2:46" x14ac:dyDescent="0.35">
      <c r="B18" s="3" t="s">
        <v>18</v>
      </c>
      <c r="C18" s="1"/>
      <c r="D18" s="28">
        <v>2</v>
      </c>
      <c r="E18" s="1">
        <v>2</v>
      </c>
      <c r="F18" s="1">
        <v>2</v>
      </c>
      <c r="G18" s="1">
        <v>2</v>
      </c>
      <c r="H18" s="28">
        <v>2</v>
      </c>
      <c r="I18" s="1">
        <v>2</v>
      </c>
      <c r="J18" s="1">
        <v>2</v>
      </c>
      <c r="K18" s="11">
        <v>2</v>
      </c>
      <c r="L18" s="28">
        <v>2</v>
      </c>
      <c r="M18" s="1">
        <v>2</v>
      </c>
      <c r="N18" s="1">
        <v>2</v>
      </c>
      <c r="O18" s="11">
        <v>2</v>
      </c>
      <c r="P18" s="28">
        <v>2</v>
      </c>
      <c r="Q18" s="1">
        <v>2</v>
      </c>
      <c r="R18" s="1">
        <v>2</v>
      </c>
      <c r="S18" s="11">
        <v>2</v>
      </c>
      <c r="T18" s="28">
        <v>2</v>
      </c>
      <c r="U18" s="1">
        <v>2</v>
      </c>
      <c r="V18" s="1">
        <v>2</v>
      </c>
      <c r="W18" s="11">
        <v>2</v>
      </c>
      <c r="X18" s="28">
        <v>2</v>
      </c>
      <c r="Y18" s="1">
        <v>2</v>
      </c>
      <c r="Z18" s="1">
        <v>2</v>
      </c>
      <c r="AA18" s="11">
        <v>2</v>
      </c>
      <c r="AB18" s="28">
        <v>2</v>
      </c>
      <c r="AC18" s="1">
        <v>2</v>
      </c>
      <c r="AD18" s="1">
        <v>2</v>
      </c>
      <c r="AE18" s="11">
        <v>2</v>
      </c>
      <c r="AF18" s="26">
        <v>2</v>
      </c>
      <c r="AG18">
        <v>2</v>
      </c>
      <c r="AH18" s="19">
        <v>1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1</v>
      </c>
      <c r="AS18">
        <v>1</v>
      </c>
      <c r="AT18" s="19">
        <v>1</v>
      </c>
    </row>
    <row r="19" spans="2:46" x14ac:dyDescent="0.35">
      <c r="B19" s="3" t="s">
        <v>19</v>
      </c>
      <c r="C19" s="1"/>
      <c r="D19" s="28">
        <v>4</v>
      </c>
      <c r="E19" s="1">
        <v>4</v>
      </c>
      <c r="F19" s="1">
        <v>4</v>
      </c>
      <c r="G19" s="1">
        <v>4</v>
      </c>
      <c r="H19" s="28">
        <v>4</v>
      </c>
      <c r="I19" s="1">
        <v>4</v>
      </c>
      <c r="J19" s="1">
        <v>4</v>
      </c>
      <c r="K19" s="11">
        <v>4</v>
      </c>
      <c r="L19" s="28">
        <v>4</v>
      </c>
      <c r="M19" s="1">
        <v>4</v>
      </c>
      <c r="N19" s="1">
        <v>4</v>
      </c>
      <c r="O19" s="11">
        <v>4</v>
      </c>
      <c r="P19" s="28">
        <v>4</v>
      </c>
      <c r="Q19" s="1">
        <v>4</v>
      </c>
      <c r="R19" s="1">
        <v>4</v>
      </c>
      <c r="S19" s="11">
        <v>4</v>
      </c>
      <c r="T19" s="28">
        <v>4</v>
      </c>
      <c r="U19" s="1">
        <v>4</v>
      </c>
      <c r="V19" s="1">
        <v>4</v>
      </c>
      <c r="W19" s="11">
        <v>4</v>
      </c>
      <c r="X19" s="28">
        <v>4</v>
      </c>
      <c r="Y19" s="1">
        <v>4</v>
      </c>
      <c r="Z19" s="1">
        <v>4</v>
      </c>
      <c r="AA19" s="11">
        <v>4</v>
      </c>
      <c r="AB19" s="28">
        <v>4</v>
      </c>
      <c r="AC19" s="1">
        <v>4</v>
      </c>
      <c r="AD19" s="1">
        <v>4</v>
      </c>
      <c r="AE19" s="11">
        <v>4</v>
      </c>
      <c r="AF19" s="26">
        <v>4</v>
      </c>
      <c r="AG19">
        <v>1</v>
      </c>
      <c r="AH19" s="19">
        <v>1</v>
      </c>
      <c r="AI19">
        <v>4</v>
      </c>
      <c r="AJ19">
        <v>4</v>
      </c>
      <c r="AK19">
        <v>4</v>
      </c>
      <c r="AL19">
        <v>4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 s="19">
        <v>1</v>
      </c>
    </row>
    <row r="20" spans="2:46" x14ac:dyDescent="0.35">
      <c r="B20" s="3" t="s">
        <v>20</v>
      </c>
      <c r="C20" s="1"/>
      <c r="D20" s="28" t="s">
        <v>44</v>
      </c>
      <c r="E20" s="1" t="s">
        <v>44</v>
      </c>
      <c r="F20" s="1" t="s">
        <v>44</v>
      </c>
      <c r="G20" s="1" t="s">
        <v>44</v>
      </c>
      <c r="H20" s="28" t="s">
        <v>44</v>
      </c>
      <c r="I20" s="1" t="s">
        <v>44</v>
      </c>
      <c r="J20" s="1" t="s">
        <v>44</v>
      </c>
      <c r="K20" s="11" t="s">
        <v>44</v>
      </c>
      <c r="L20" s="28" t="s">
        <v>44</v>
      </c>
      <c r="M20" s="1" t="s">
        <v>44</v>
      </c>
      <c r="N20" s="1" t="s">
        <v>44</v>
      </c>
      <c r="O20" s="11" t="s">
        <v>44</v>
      </c>
      <c r="P20" s="28" t="s">
        <v>44</v>
      </c>
      <c r="Q20" s="1" t="s">
        <v>44</v>
      </c>
      <c r="R20" s="1" t="s">
        <v>44</v>
      </c>
      <c r="S20" s="11" t="s">
        <v>44</v>
      </c>
      <c r="T20" s="28" t="s">
        <v>44</v>
      </c>
      <c r="U20" s="1" t="s">
        <v>44</v>
      </c>
      <c r="V20" s="1" t="s">
        <v>44</v>
      </c>
      <c r="W20" s="11" t="s">
        <v>44</v>
      </c>
      <c r="X20" s="28" t="s">
        <v>44</v>
      </c>
      <c r="Y20" s="1" t="s">
        <v>44</v>
      </c>
      <c r="Z20" s="1" t="s">
        <v>44</v>
      </c>
      <c r="AA20" s="11" t="s">
        <v>44</v>
      </c>
      <c r="AB20" s="28" t="s">
        <v>44</v>
      </c>
      <c r="AC20" s="1" t="s">
        <v>44</v>
      </c>
      <c r="AD20" s="1" t="s">
        <v>44</v>
      </c>
      <c r="AE20" s="11" t="s">
        <v>44</v>
      </c>
      <c r="AF20" s="28" t="s">
        <v>44</v>
      </c>
      <c r="AG20" s="1" t="s">
        <v>44</v>
      </c>
      <c r="AH20" s="11" t="s">
        <v>44</v>
      </c>
      <c r="AI20" s="1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1" t="s">
        <v>44</v>
      </c>
      <c r="AQ20" s="1" t="s">
        <v>44</v>
      </c>
      <c r="AR20" s="1" t="s">
        <v>44</v>
      </c>
      <c r="AS20" s="1" t="s">
        <v>44</v>
      </c>
      <c r="AT20" s="11" t="s">
        <v>44</v>
      </c>
    </row>
    <row r="21" spans="2:46" x14ac:dyDescent="0.35">
      <c r="B21" s="6" t="s">
        <v>22</v>
      </c>
      <c r="C21" s="1"/>
      <c r="D21" s="29"/>
      <c r="E21" s="17"/>
      <c r="F21" s="17"/>
      <c r="G21" s="17"/>
      <c r="H21" s="29"/>
      <c r="I21" s="17"/>
      <c r="J21" s="17"/>
      <c r="K21" s="16"/>
      <c r="L21" s="29"/>
      <c r="M21" s="17"/>
      <c r="N21" s="17"/>
      <c r="O21" s="16"/>
      <c r="P21" s="29"/>
      <c r="Q21" s="17"/>
      <c r="R21" s="17"/>
      <c r="S21" s="16"/>
      <c r="T21" s="29"/>
      <c r="U21" s="17"/>
      <c r="V21" s="17"/>
      <c r="W21" s="16"/>
      <c r="X21" s="29"/>
      <c r="Y21" s="17"/>
      <c r="Z21" s="17"/>
      <c r="AA21" s="16"/>
      <c r="AB21" s="29"/>
      <c r="AC21" s="17"/>
      <c r="AD21" s="17"/>
      <c r="AE21" s="16"/>
      <c r="AF21" s="29"/>
      <c r="AG21" s="18"/>
      <c r="AH21" s="13"/>
      <c r="AI21" s="17"/>
      <c r="AJ21" s="17"/>
      <c r="AK21" s="17"/>
      <c r="AL21" s="17"/>
      <c r="AM21" s="18"/>
      <c r="AN21" s="18"/>
      <c r="AO21" s="18"/>
      <c r="AP21" s="18"/>
      <c r="AQ21" s="18"/>
      <c r="AR21" s="18"/>
      <c r="AS21" s="18"/>
      <c r="AT21" s="13"/>
    </row>
    <row r="22" spans="2:46" x14ac:dyDescent="0.35">
      <c r="B22" s="7" t="s">
        <v>23</v>
      </c>
      <c r="C22" s="1"/>
      <c r="D22" s="28" t="s">
        <v>24</v>
      </c>
      <c r="E22" s="1" t="s">
        <v>24</v>
      </c>
      <c r="F22" s="1" t="s">
        <v>24</v>
      </c>
      <c r="G22" s="1" t="s">
        <v>24</v>
      </c>
      <c r="H22" s="28" t="s">
        <v>24</v>
      </c>
      <c r="I22" s="1" t="s">
        <v>24</v>
      </c>
      <c r="J22" s="1" t="s">
        <v>24</v>
      </c>
      <c r="K22" s="11" t="s">
        <v>24</v>
      </c>
      <c r="L22" s="28" t="s">
        <v>24</v>
      </c>
      <c r="M22" s="1" t="s">
        <v>24</v>
      </c>
      <c r="N22" s="1" t="s">
        <v>24</v>
      </c>
      <c r="O22" s="11" t="s">
        <v>24</v>
      </c>
      <c r="P22" s="28" t="s">
        <v>24</v>
      </c>
      <c r="Q22" s="1" t="s">
        <v>24</v>
      </c>
      <c r="R22" s="1" t="s">
        <v>24</v>
      </c>
      <c r="S22" s="11" t="s">
        <v>24</v>
      </c>
      <c r="T22" s="28" t="s">
        <v>24</v>
      </c>
      <c r="U22" s="1" t="s">
        <v>24</v>
      </c>
      <c r="V22" s="1" t="s">
        <v>24</v>
      </c>
      <c r="W22" s="11" t="s">
        <v>24</v>
      </c>
      <c r="X22" s="28" t="s">
        <v>24</v>
      </c>
      <c r="Y22" s="1" t="s">
        <v>24</v>
      </c>
      <c r="Z22" s="1" t="s">
        <v>24</v>
      </c>
      <c r="AA22" s="11" t="s">
        <v>24</v>
      </c>
      <c r="AB22" s="28" t="s">
        <v>24</v>
      </c>
      <c r="AC22" s="1" t="s">
        <v>24</v>
      </c>
      <c r="AD22" s="1" t="s">
        <v>24</v>
      </c>
      <c r="AE22" s="11" t="s">
        <v>24</v>
      </c>
      <c r="AF22" s="28" t="s">
        <v>24</v>
      </c>
      <c r="AG22" s="1" t="s">
        <v>24</v>
      </c>
      <c r="AH22" s="11" t="s">
        <v>24</v>
      </c>
      <c r="AI22" s="1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1" t="s">
        <v>24</v>
      </c>
      <c r="AQ22" s="1" t="s">
        <v>24</v>
      </c>
      <c r="AR22" s="1" t="s">
        <v>24</v>
      </c>
      <c r="AS22" s="1" t="s">
        <v>24</v>
      </c>
      <c r="AT22" s="11" t="s">
        <v>24</v>
      </c>
    </row>
    <row r="23" spans="2:46" x14ac:dyDescent="0.35">
      <c r="B23" s="7" t="s">
        <v>25</v>
      </c>
      <c r="C23" s="1"/>
      <c r="D23" s="28">
        <v>0</v>
      </c>
      <c r="E23" s="1">
        <v>0</v>
      </c>
      <c r="F23" s="1">
        <v>0</v>
      </c>
      <c r="G23" s="1">
        <v>0</v>
      </c>
      <c r="H23" s="28">
        <v>0</v>
      </c>
      <c r="I23" s="1">
        <v>0</v>
      </c>
      <c r="J23" s="1">
        <v>0</v>
      </c>
      <c r="K23" s="1">
        <v>0</v>
      </c>
      <c r="L23" s="28">
        <v>0</v>
      </c>
      <c r="M23" s="1">
        <v>0</v>
      </c>
      <c r="N23" s="1">
        <v>0</v>
      </c>
      <c r="O23" s="1">
        <v>0</v>
      </c>
      <c r="P23" s="28">
        <v>0</v>
      </c>
      <c r="Q23" s="1">
        <v>0</v>
      </c>
      <c r="R23" s="1">
        <v>0</v>
      </c>
      <c r="S23" s="1">
        <v>0</v>
      </c>
      <c r="T23" s="28">
        <v>0</v>
      </c>
      <c r="U23" s="1">
        <v>0</v>
      </c>
      <c r="V23" s="1">
        <v>0</v>
      </c>
      <c r="W23" s="1">
        <v>0</v>
      </c>
      <c r="X23" s="28">
        <v>0</v>
      </c>
      <c r="Y23" s="1">
        <v>0</v>
      </c>
      <c r="Z23" s="1">
        <v>0</v>
      </c>
      <c r="AA23" s="1">
        <v>0</v>
      </c>
      <c r="AB23" s="28">
        <v>0</v>
      </c>
      <c r="AC23" s="1">
        <v>0</v>
      </c>
      <c r="AD23" s="1">
        <v>0</v>
      </c>
      <c r="AE23" s="1">
        <v>0</v>
      </c>
      <c r="AF23" s="28">
        <v>0</v>
      </c>
      <c r="AG23" s="1">
        <v>0</v>
      </c>
      <c r="AH23" s="1">
        <v>0</v>
      </c>
      <c r="AI23" s="28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</row>
    <row r="24" spans="2:46" x14ac:dyDescent="0.35">
      <c r="B24" s="7" t="s">
        <v>26</v>
      </c>
      <c r="C24" s="1"/>
      <c r="D24" s="28" t="s">
        <v>27</v>
      </c>
      <c r="E24" s="1" t="s">
        <v>27</v>
      </c>
      <c r="F24" s="1" t="s">
        <v>27</v>
      </c>
      <c r="G24" s="1" t="s">
        <v>27</v>
      </c>
      <c r="H24" s="28" t="s">
        <v>27</v>
      </c>
      <c r="I24" s="1" t="s">
        <v>27</v>
      </c>
      <c r="J24" s="1" t="s">
        <v>27</v>
      </c>
      <c r="K24" s="11" t="s">
        <v>27</v>
      </c>
      <c r="L24" s="28" t="s">
        <v>27</v>
      </c>
      <c r="M24" s="1" t="s">
        <v>27</v>
      </c>
      <c r="N24" s="1" t="s">
        <v>27</v>
      </c>
      <c r="O24" s="11" t="s">
        <v>27</v>
      </c>
      <c r="P24" s="28" t="s">
        <v>27</v>
      </c>
      <c r="Q24" s="1" t="s">
        <v>27</v>
      </c>
      <c r="R24" s="1" t="s">
        <v>27</v>
      </c>
      <c r="S24" s="11" t="s">
        <v>27</v>
      </c>
      <c r="T24" s="28" t="s">
        <v>27</v>
      </c>
      <c r="U24" s="1" t="s">
        <v>27</v>
      </c>
      <c r="V24" s="1" t="s">
        <v>27</v>
      </c>
      <c r="W24" s="11" t="s">
        <v>27</v>
      </c>
      <c r="X24" s="28" t="s">
        <v>27</v>
      </c>
      <c r="Y24" s="1" t="s">
        <v>27</v>
      </c>
      <c r="Z24" s="1" t="s">
        <v>27</v>
      </c>
      <c r="AA24" s="11" t="s">
        <v>27</v>
      </c>
      <c r="AB24" s="28" t="s">
        <v>27</v>
      </c>
      <c r="AC24" s="1" t="s">
        <v>27</v>
      </c>
      <c r="AD24" s="1" t="s">
        <v>27</v>
      </c>
      <c r="AE24" s="11" t="s">
        <v>27</v>
      </c>
      <c r="AF24" s="28" t="s">
        <v>27</v>
      </c>
      <c r="AG24" s="1" t="s">
        <v>27</v>
      </c>
      <c r="AH24" s="11" t="s">
        <v>27</v>
      </c>
      <c r="AI24" s="1" t="s">
        <v>27</v>
      </c>
      <c r="AJ24" s="1" t="s">
        <v>27</v>
      </c>
      <c r="AK24" s="1" t="s">
        <v>27</v>
      </c>
      <c r="AL24" s="1" t="s">
        <v>27</v>
      </c>
      <c r="AM24" s="1" t="s">
        <v>27</v>
      </c>
      <c r="AN24" s="1" t="s">
        <v>27</v>
      </c>
      <c r="AO24" s="1" t="s">
        <v>27</v>
      </c>
      <c r="AP24" s="1" t="s">
        <v>27</v>
      </c>
      <c r="AQ24" s="1" t="s">
        <v>27</v>
      </c>
      <c r="AR24" s="1" t="s">
        <v>27</v>
      </c>
      <c r="AS24" s="1" t="s">
        <v>27</v>
      </c>
      <c r="AT24" s="11" t="s">
        <v>27</v>
      </c>
    </row>
    <row r="25" spans="2:46" x14ac:dyDescent="0.35">
      <c r="B25" s="6" t="s">
        <v>28</v>
      </c>
      <c r="C25" s="1"/>
      <c r="D25" s="29"/>
      <c r="E25" s="17"/>
      <c r="F25" s="17"/>
      <c r="G25" s="17"/>
      <c r="H25" s="29"/>
      <c r="I25" s="17"/>
      <c r="J25" s="17"/>
      <c r="K25" s="16"/>
      <c r="L25" s="29"/>
      <c r="M25" s="17"/>
      <c r="N25" s="17"/>
      <c r="O25" s="16"/>
      <c r="P25" s="29"/>
      <c r="Q25" s="17"/>
      <c r="R25" s="17"/>
      <c r="S25" s="16"/>
      <c r="T25" s="29"/>
      <c r="U25" s="17"/>
      <c r="V25" s="17"/>
      <c r="W25" s="16"/>
      <c r="X25" s="29"/>
      <c r="Y25" s="17"/>
      <c r="Z25" s="17"/>
      <c r="AA25" s="16"/>
      <c r="AB25" s="29"/>
      <c r="AC25" s="17"/>
      <c r="AD25" s="17"/>
      <c r="AE25" s="16"/>
      <c r="AF25" s="29"/>
      <c r="AG25" s="18"/>
      <c r="AH25" s="13"/>
      <c r="AI25" s="17"/>
      <c r="AJ25" s="17"/>
      <c r="AK25" s="17"/>
      <c r="AL25" s="17"/>
      <c r="AM25" s="18"/>
      <c r="AN25" s="18"/>
      <c r="AO25" s="18"/>
      <c r="AP25" s="18"/>
      <c r="AQ25" s="18"/>
      <c r="AR25" s="18"/>
      <c r="AS25" s="18"/>
      <c r="AT25" s="13"/>
    </row>
    <row r="26" spans="2:46" x14ac:dyDescent="0.35">
      <c r="B26" s="8" t="s">
        <v>29</v>
      </c>
      <c r="C26" s="1"/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28" cm="1">
        <f t="array" ref="H26">Comm_MCS_ModOrd(H16,H17)</f>
        <v>8</v>
      </c>
      <c r="I26" s="1" cm="1">
        <f t="array" ref="I26">Comm_MCS_ModOrd(I16,I17)</f>
        <v>8</v>
      </c>
      <c r="J26" s="1" cm="1">
        <f t="array" ref="J26">Comm_MCS_ModOrd(J16,J17)</f>
        <v>8</v>
      </c>
      <c r="K26" s="11" cm="1">
        <f t="array" ref="K26">Comm_MCS_ModOrd(K16,K17)</f>
        <v>8</v>
      </c>
      <c r="L26" s="28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1" cm="1">
        <f t="array" ref="O26">Comm_MCS_ModOrd(O16,O17)</f>
        <v>8</v>
      </c>
      <c r="P26" s="28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1" cm="1">
        <f t="array" ref="S26">Comm_MCS_ModOrd(S16,S17)</f>
        <v>8</v>
      </c>
      <c r="T26" s="28" cm="1">
        <f t="array" ref="T26">Comm_MCS_ModOrd(T16,T17)</f>
        <v>8</v>
      </c>
      <c r="U26" s="1" cm="1">
        <f t="array" ref="U26">Comm_MCS_ModOrd(U16,U17)</f>
        <v>8</v>
      </c>
      <c r="V26" s="1" cm="1">
        <f t="array" ref="V26">Comm_MCS_ModOrd(V16,V17)</f>
        <v>8</v>
      </c>
      <c r="W26" s="11" cm="1">
        <f t="array" ref="W26">Comm_MCS_ModOrd(W16,W17)</f>
        <v>8</v>
      </c>
      <c r="X26" s="28" cm="1">
        <f t="array" ref="X26">Comm_MCS_ModOrd(X16,X17)</f>
        <v>8</v>
      </c>
      <c r="Y26" s="1" cm="1">
        <f t="array" ref="Y26">Comm_MCS_ModOrd(Y16,Y17)</f>
        <v>8</v>
      </c>
      <c r="Z26" s="1" cm="1">
        <f t="array" ref="Z26">Comm_MCS_ModOrd(Z16,Z17)</f>
        <v>8</v>
      </c>
      <c r="AA26" s="11" cm="1">
        <f t="array" ref="AA26">Comm_MCS_ModOrd(AA16,AA17)</f>
        <v>8</v>
      </c>
      <c r="AB26" s="28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11" cm="1">
        <f t="array" ref="AE26">Comm_MCS_ModOrd(AE16,AE17)</f>
        <v>8</v>
      </c>
      <c r="AF26" s="28" cm="1">
        <f t="array" ref="AF26">Comm_MCS_ModOrd(AF16,AF17)</f>
        <v>8</v>
      </c>
      <c r="AG26" s="1" cm="1">
        <f t="array" ref="AG26">Comm_MCS_ModOrd(AG16,AG17)</f>
        <v>6</v>
      </c>
      <c r="AH26" s="11" cm="1">
        <f t="array" ref="AH26">Comm_MCS_ModOrd(AH16,AH17)</f>
        <v>4</v>
      </c>
      <c r="AI26" s="1" cm="1">
        <f t="array" ref="AI26">Comm_MCS_ModOrd(AI16,AI17)</f>
        <v>8</v>
      </c>
      <c r="AJ26" s="1" cm="1">
        <f t="array" ref="AJ26">Comm_MCS_ModOrd(AJ16,AJ17)</f>
        <v>8</v>
      </c>
      <c r="AK26" s="1" cm="1">
        <f t="array" ref="AK26">Comm_MCS_ModOrd(AK16,AK17)</f>
        <v>8</v>
      </c>
      <c r="AL26" s="1" cm="1">
        <f t="array" ref="AL26">Comm_MCS_ModOrd(AL16,AL17)</f>
        <v>8</v>
      </c>
      <c r="AM26" s="1" cm="1">
        <f t="array" ref="AM26">Comm_MCS_ModOrd(AM16,AM17)</f>
        <v>6</v>
      </c>
      <c r="AN26" s="1" cm="1">
        <f t="array" ref="AN26">Comm_MCS_ModOrd(AN16,AN17)</f>
        <v>6</v>
      </c>
      <c r="AO26" s="1" cm="1">
        <f t="array" ref="AO26">Comm_MCS_ModOrd(AO16,AO17)</f>
        <v>6</v>
      </c>
      <c r="AP26" s="1" cm="1">
        <f t="array" ref="AP26">Comm_MCS_ModOrd(AP16,AP17)</f>
        <v>6</v>
      </c>
      <c r="AQ26" s="1" cm="1">
        <f t="array" ref="AQ26">Comm_MCS_ModOrd(AQ16,AQ17)</f>
        <v>6</v>
      </c>
      <c r="AR26" s="1" cm="1">
        <f t="array" ref="AR26">Comm_MCS_ModOrd(AR16,AR17)</f>
        <v>4</v>
      </c>
      <c r="AS26" s="1" cm="1">
        <f t="array" ref="AS26">Comm_MCS_ModOrd(AS16,AS17)</f>
        <v>4</v>
      </c>
      <c r="AT26" s="11" cm="1">
        <f t="array" ref="AT26">Comm_MCS_ModOrd(AT16,AT17)</f>
        <v>4</v>
      </c>
    </row>
    <row r="27" spans="2:46" x14ac:dyDescent="0.35">
      <c r="B27" s="8" t="s">
        <v>30</v>
      </c>
      <c r="C27" s="1"/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28" cm="1">
        <f t="array" ref="H27">Comm_MCS_CodeRate(H16,H17)</f>
        <v>948</v>
      </c>
      <c r="I27" s="1" cm="1">
        <f t="array" ref="I27">Comm_MCS_CodeRate(I16,I17)</f>
        <v>948</v>
      </c>
      <c r="J27" s="1" cm="1">
        <f t="array" ref="J27">Comm_MCS_CodeRate(J16,J17)</f>
        <v>948</v>
      </c>
      <c r="K27" s="11" cm="1">
        <f t="array" ref="K27">Comm_MCS_CodeRate(K16,K17)</f>
        <v>948</v>
      </c>
      <c r="L27" s="28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1" cm="1">
        <f t="array" ref="O27">Comm_MCS_CodeRate(O16,O17)</f>
        <v>948</v>
      </c>
      <c r="P27" s="28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1" cm="1">
        <f t="array" ref="S27">Comm_MCS_CodeRate(S16,S17)</f>
        <v>948</v>
      </c>
      <c r="T27" s="28" cm="1">
        <f t="array" ref="T27">Comm_MCS_CodeRate(T16,T17)</f>
        <v>948</v>
      </c>
      <c r="U27" s="1" cm="1">
        <f t="array" ref="U27">Comm_MCS_CodeRate(U16,U17)</f>
        <v>948</v>
      </c>
      <c r="V27" s="1" cm="1">
        <f t="array" ref="V27">Comm_MCS_CodeRate(V16,V17)</f>
        <v>948</v>
      </c>
      <c r="W27" s="11" cm="1">
        <f t="array" ref="W27">Comm_MCS_CodeRate(W16,W17)</f>
        <v>948</v>
      </c>
      <c r="X27" s="28" cm="1">
        <f t="array" ref="X27">Comm_MCS_CodeRate(X16,X17)</f>
        <v>948</v>
      </c>
      <c r="Y27" s="1" cm="1">
        <f t="array" ref="Y27">Comm_MCS_CodeRate(Y16,Y17)</f>
        <v>948</v>
      </c>
      <c r="Z27" s="1" cm="1">
        <f t="array" ref="Z27">Comm_MCS_CodeRate(Z16,Z17)</f>
        <v>948</v>
      </c>
      <c r="AA27" s="11" cm="1">
        <f t="array" ref="AA27">Comm_MCS_CodeRate(AA16,AA17)</f>
        <v>948</v>
      </c>
      <c r="AB27" s="28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11" cm="1">
        <f t="array" ref="AE27">Comm_MCS_CodeRate(AE16,AE17)</f>
        <v>948</v>
      </c>
      <c r="AF27" s="28" cm="1">
        <f t="array" ref="AF27">Comm_MCS_CodeRate(AF16,AF17)</f>
        <v>841</v>
      </c>
      <c r="AG27" s="1" cm="1">
        <f t="array" ref="AG27">Comm_MCS_CodeRate(AG16,AG17)</f>
        <v>567</v>
      </c>
      <c r="AH27" s="11" cm="1">
        <f t="array" ref="AH27">Comm_MCS_CodeRate(AH16,AH17)</f>
        <v>490</v>
      </c>
      <c r="AI27" s="1" cm="1">
        <f t="array" ref="AI27">Comm_MCS_CodeRate(AI16,AI17)</f>
        <v>841</v>
      </c>
      <c r="AJ27" s="1" cm="1">
        <f t="array" ref="AJ27">Comm_MCS_CodeRate(AJ16,AJ17)</f>
        <v>841</v>
      </c>
      <c r="AK27" s="1" cm="1">
        <f t="array" ref="AK27">Comm_MCS_CodeRate(AK16,AK17)</f>
        <v>841</v>
      </c>
      <c r="AL27" s="1" cm="1">
        <f t="array" ref="AL27">Comm_MCS_CodeRate(AL16,AL17)</f>
        <v>841</v>
      </c>
      <c r="AM27" s="1" cm="1">
        <f t="array" ref="AM27">Comm_MCS_CodeRate(AM16,AM17)</f>
        <v>567</v>
      </c>
      <c r="AN27" s="1" cm="1">
        <f t="array" ref="AN27">Comm_MCS_CodeRate(AN16,AN17)</f>
        <v>567</v>
      </c>
      <c r="AO27" s="1" cm="1">
        <f t="array" ref="AO27">Comm_MCS_CodeRate(AO16,AO17)</f>
        <v>567</v>
      </c>
      <c r="AP27" s="1" cm="1">
        <f t="array" ref="AP27">Comm_MCS_CodeRate(AP16,AP17)</f>
        <v>567</v>
      </c>
      <c r="AQ27" s="1" cm="1">
        <f t="array" ref="AQ27">Comm_MCS_CodeRate(AQ16,AQ17)</f>
        <v>567</v>
      </c>
      <c r="AR27" s="1" cm="1">
        <f t="array" ref="AR27">Comm_MCS_CodeRate(AR16,AR17)</f>
        <v>490</v>
      </c>
      <c r="AS27" s="1" cm="1">
        <f t="array" ref="AS27">Comm_MCS_CodeRate(AS16,AS17)</f>
        <v>490</v>
      </c>
      <c r="AT27" s="11" cm="1">
        <f t="array" ref="AT27">Comm_MCS_CodeRate(AT16,AT17)</f>
        <v>490</v>
      </c>
    </row>
    <row r="28" spans="2:46" x14ac:dyDescent="0.35">
      <c r="B28" s="9" t="s">
        <v>31</v>
      </c>
      <c r="C28" s="1"/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28" cm="1">
        <f t="array" ref="H28">Comm_Z(H11,H26,H27,H12,H13,H10/H18)</f>
        <v>384</v>
      </c>
      <c r="I28" s="1" cm="1">
        <f t="array" ref="I28">Comm_Z(I11,I26,I27,I12,I13,I10/I18)</f>
        <v>384</v>
      </c>
      <c r="J28" s="1" cm="1">
        <f t="array" ref="J28">Comm_Z(J11,J26,J27,J12,J13,J10/J18)</f>
        <v>384</v>
      </c>
      <c r="K28" s="11" cm="1">
        <f t="array" ref="K28">Comm_Z(K11,K26,K27,K12,K13,K10/K18)</f>
        <v>384</v>
      </c>
      <c r="L28" s="28" cm="1">
        <f t="array" ref="L28">Comm_Z(L11,L26,L27,L12,L13,L10/L18)</f>
        <v>384</v>
      </c>
      <c r="M28" s="1" cm="1">
        <f t="array" ref="M28">Comm_Z(M11,M26,M27,M12,M13,M10/M18)</f>
        <v>384</v>
      </c>
      <c r="N28" s="1" cm="1">
        <f t="array" ref="N28">Comm_Z(N11,N26,N27,N12,N13,N10/N18)</f>
        <v>384</v>
      </c>
      <c r="O28" s="11" cm="1">
        <f t="array" ref="O28">Comm_Z(O11,O26,O27,O12,O13,O10/O18)</f>
        <v>384</v>
      </c>
      <c r="P28" s="28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1" cm="1">
        <f t="array" ref="S28">Comm_Z(S11,S26,S27,S12,S13,S10/S18)</f>
        <v>384</v>
      </c>
      <c r="T28" s="28" cm="1">
        <f t="array" ref="T28">Comm_Z(T11,T26,T27,T12,T13,T10/T18)</f>
        <v>384</v>
      </c>
      <c r="U28" s="1" cm="1">
        <f t="array" ref="U28">Comm_Z(U11,U26,U27,U12,U13,U10/U18)</f>
        <v>384</v>
      </c>
      <c r="V28" s="1" cm="1">
        <f t="array" ref="V28">Comm_Z(V11,V26,V27,V12,V13,V10/V18)</f>
        <v>384</v>
      </c>
      <c r="W28" s="11" cm="1">
        <f t="array" ref="W28">Comm_Z(W11,W26,W27,W12,W13,W10/W18)</f>
        <v>384</v>
      </c>
      <c r="X28" s="28" cm="1">
        <f t="array" ref="X28">Comm_Z(X11,X26,X27,X12,X13,X10/X18)</f>
        <v>384</v>
      </c>
      <c r="Y28" s="1" cm="1">
        <f t="array" ref="Y28">Comm_Z(Y11,Y26,Y27,Y12,Y13,Y10/Y18)</f>
        <v>384</v>
      </c>
      <c r="Z28" s="1" cm="1">
        <f t="array" ref="Z28">Comm_Z(Z11,Z26,Z27,Z12,Z13,Z10/Z18)</f>
        <v>384</v>
      </c>
      <c r="AA28" s="11" cm="1">
        <f t="array" ref="AA28">Comm_Z(AA11,AA26,AA27,AA12,AA13,AA10/AA18)</f>
        <v>384</v>
      </c>
      <c r="AB28" s="28" cm="1">
        <f t="array" ref="AB28">Comm_Z(AB11,AB26,AB27,AB12,AB13,AB10/AB18)</f>
        <v>384</v>
      </c>
      <c r="AC28" s="1" cm="1">
        <f t="array" ref="AC28">Comm_Z(AC11,AC26,AC27,AC12,AC13,AC10/AC18)</f>
        <v>384</v>
      </c>
      <c r="AD28" s="1" cm="1">
        <f t="array" ref="AD28">Comm_Z(AD11,AD26,AD27,AD12,AD13,AD10/AD18)</f>
        <v>384</v>
      </c>
      <c r="AE28" s="11" cm="1">
        <f t="array" ref="AE28">Comm_Z(AE11,AE26,AE27,AE12,AE13,AE10/AE18)</f>
        <v>384</v>
      </c>
      <c r="AF28" s="28" cm="1">
        <f t="array" ref="AF28">Comm_Z(AF11,AF26,AF27,AF12,AF13,AF10/AF18)</f>
        <v>384</v>
      </c>
      <c r="AG28" s="1" cm="1">
        <f t="array" ref="AG28">Comm_Z(AG11,AG26,AG27,AG12,AG13,AG10/AG18)</f>
        <v>320</v>
      </c>
      <c r="AH28" s="11" cm="1">
        <f t="array" ref="AH28">Comm_Z(AH11,AH26,AH27,AH12,AH13,AH10/AH18)</f>
        <v>320</v>
      </c>
      <c r="AI28" s="1" cm="1">
        <f t="array" ref="AI28">Comm_Z(AI11,AI26,AI27,AI12,AI13,AI10/AI18)</f>
        <v>352</v>
      </c>
      <c r="AJ28" s="1" cm="1">
        <f t="array" ref="AJ28">Comm_Z(AJ11,AJ26,AJ27,AJ12,AJ13,AJ10/AJ18)</f>
        <v>352</v>
      </c>
      <c r="AK28" s="1" cm="1">
        <f t="array" ref="AK28">Comm_Z(AK11,AK26,AK27,AK12,AK13,AK10/AK18)</f>
        <v>352</v>
      </c>
      <c r="AL28" s="1" cm="1">
        <f t="array" ref="AL28">Comm_Z(AL11,AL26,AL27,AL12,AL13,AL10/AL18)</f>
        <v>352</v>
      </c>
      <c r="AM28" s="1" cm="1">
        <f t="array" ref="AM28">Comm_Z(AM11,AM26,AM27,AM12,AM13,AM10/AM18)</f>
        <v>176</v>
      </c>
      <c r="AN28" s="1" cm="1">
        <f t="array" ref="AN28">Comm_Z(AN11,AN26,AN27,AN12,AN13,AN10/AN18)</f>
        <v>176</v>
      </c>
      <c r="AO28" s="1" cm="1">
        <f t="array" ref="AO28">Comm_Z(AO11,AO26,AO27,AO12,AO13,AO10/AO18)</f>
        <v>176</v>
      </c>
      <c r="AP28" s="1" cm="1">
        <f t="array" ref="AP28">Comm_Z(AP11,AP26,AP27,AP12,AP13,AP10/AP18)</f>
        <v>176</v>
      </c>
      <c r="AQ28" s="1" cm="1">
        <f t="array" ref="AQ28">Comm_Z(AQ11,AQ26,AQ27,AQ12,AQ13,AQ10/AQ18)</f>
        <v>176</v>
      </c>
      <c r="AR28" s="1" cm="1">
        <f t="array" ref="AR28">Comm_Z(AR11,AR26,AR27,AR12,AR13,AR10/AR18)</f>
        <v>224</v>
      </c>
      <c r="AS28" s="1" cm="1">
        <f t="array" ref="AS28">Comm_Z(AS11,AS26,AS27,AS12,AS13,AS10/AS18)</f>
        <v>224</v>
      </c>
      <c r="AT28" s="11" cm="1">
        <f t="array" ref="AT28">Comm_Z(AT11,AT26,AT27,AT12,AT13,AT10/AT18)</f>
        <v>224</v>
      </c>
    </row>
    <row r="29" spans="2:46" x14ac:dyDescent="0.35">
      <c r="B29" s="9" t="s">
        <v>32</v>
      </c>
      <c r="C29" s="1"/>
      <c r="D29" s="28" cm="1">
        <f t="array" ref="D29">Comm_TBS(D11,D26,D27,D12,D13,D10/D18)</f>
        <v>286976</v>
      </c>
      <c r="E29" s="1" cm="1">
        <f t="array" ref="E29">Comm_TBS(E11,E26,E27,E12,E13,E10/E18)</f>
        <v>286976</v>
      </c>
      <c r="F29" s="1" cm="1">
        <f t="array" ref="F29">Comm_TBS(F11,F26,F27,F12,F13,F10/F18)</f>
        <v>286976</v>
      </c>
      <c r="G29" s="1" cm="1">
        <f t="array" ref="G29">Comm_TBS(G11,G26,G27,G12,G13,G10/G18)</f>
        <v>286976</v>
      </c>
      <c r="H29" s="28" cm="1">
        <f t="array" ref="H29">Comm_TBS(H11,H26,H27,H12,H13,H10/H18)</f>
        <v>262376</v>
      </c>
      <c r="I29" s="1" cm="1">
        <f t="array" ref="I29">Comm_TBS(I11,I26,I27,I12,I13,I10/I18)</f>
        <v>262376</v>
      </c>
      <c r="J29" s="1" cm="1">
        <f t="array" ref="J29">Comm_TBS(J11,J26,J27,J12,J13,J10/J18)</f>
        <v>262376</v>
      </c>
      <c r="K29" s="11" cm="1">
        <f t="array" ref="K29">Comm_TBS(K11,K26,K27,K12,K13,K10/K18)</f>
        <v>262376</v>
      </c>
      <c r="L29" s="28" cm="1">
        <f t="array" ref="L29">Comm_TBS(L11,L26,L27,L12,L13,L10/L18)</f>
        <v>245976</v>
      </c>
      <c r="M29" s="1" cm="1">
        <f t="array" ref="M29">Comm_TBS(M11,M26,M27,M12,M13,M10/M18)</f>
        <v>245976</v>
      </c>
      <c r="N29" s="1" cm="1">
        <f t="array" ref="N29">Comm_TBS(N11,N26,N27,N12,N13,N10/N18)</f>
        <v>245976</v>
      </c>
      <c r="O29" s="11" cm="1">
        <f t="array" ref="O29">Comm_TBS(O11,O26,O27,O12,O13,O10/O18)</f>
        <v>245976</v>
      </c>
      <c r="P29" s="28" cm="1">
        <f t="array" ref="P29">Comm_TBS(P11,P26,P27,P12,P13,P10/P18)</f>
        <v>229576</v>
      </c>
      <c r="Q29" s="1" cm="1">
        <f t="array" ref="Q29">Comm_TBS(Q11,Q26,Q27,Q12,Q13,Q10/Q18)</f>
        <v>229576</v>
      </c>
      <c r="R29" s="1" cm="1">
        <f t="array" ref="R29">Comm_TBS(R11,R26,R27,R12,R13,R10/R18)</f>
        <v>229576</v>
      </c>
      <c r="S29" s="11" cm="1">
        <f t="array" ref="S29">Comm_TBS(S11,S26,S27,S12,S13,S10/S18)</f>
        <v>229576</v>
      </c>
      <c r="T29" s="28" cm="1">
        <f t="array" ref="T29">Comm_TBS(T11,T26,T27,T12,T13,T10/T18)</f>
        <v>217128</v>
      </c>
      <c r="U29" s="1" cm="1">
        <f t="array" ref="U29">Comm_TBS(U11,U26,U27,U12,U13,U10/U18)</f>
        <v>217128</v>
      </c>
      <c r="V29" s="1" cm="1">
        <f t="array" ref="V29">Comm_TBS(V11,V26,V27,V12,V13,V10/V18)</f>
        <v>217128</v>
      </c>
      <c r="W29" s="11" cm="1">
        <f t="array" ref="W29">Comm_TBS(W11,W26,W27,W12,W13,W10/W18)</f>
        <v>217128</v>
      </c>
      <c r="X29" s="28" cm="1">
        <f t="array" ref="X29">Comm_TBS(X11,X26,X27,X12,X13,X10/X18)</f>
        <v>200808</v>
      </c>
      <c r="Y29" s="1" cm="1">
        <f t="array" ref="Y29">Comm_TBS(Y11,Y26,Y27,Y12,Y13,Y10/Y18)</f>
        <v>200808</v>
      </c>
      <c r="Z29" s="1" cm="1">
        <f t="array" ref="Z29">Comm_TBS(Z11,Z26,Z27,Z12,Z13,Z10/Z18)</f>
        <v>200808</v>
      </c>
      <c r="AA29" s="11" cm="1">
        <f t="array" ref="AA29">Comm_TBS(AA11,AA26,AA27,AA12,AA13,AA10/AA18)</f>
        <v>200808</v>
      </c>
      <c r="AB29" s="28" cm="1">
        <f t="array" ref="AB29">Comm_TBS(AB11,AB26,AB27,AB12,AB13,AB10/AB18)</f>
        <v>270576</v>
      </c>
      <c r="AC29" s="1" cm="1">
        <f t="array" ref="AC29">Comm_TBS(AC11,AC26,AC27,AC12,AC13,AC10/AC18)</f>
        <v>270576</v>
      </c>
      <c r="AD29" s="1" cm="1">
        <f t="array" ref="AD29">Comm_TBS(AD11,AD26,AD27,AD12,AD13,AD10/AD18)</f>
        <v>270576</v>
      </c>
      <c r="AE29" s="11" cm="1">
        <f t="array" ref="AE29">Comm_TBS(AE11,AE26,AE27,AE12,AE13,AE10/AE18)</f>
        <v>270576</v>
      </c>
      <c r="AF29" s="28" cm="1">
        <f t="array" ref="AF29">Comm_TBS(AF11,AF26,AF27,AF12,AF13,AF10/AF18)</f>
        <v>120936</v>
      </c>
      <c r="AG29" s="1" cm="1">
        <f t="array" ref="AG29">Comm_TBS(AG11,AG26,AG27,AG12,AG13,AG10/AG18)</f>
        <v>18960</v>
      </c>
      <c r="AH29" s="11" cm="1">
        <f t="array" ref="AH29">Comm_TBS(AH11,AH26,AH27,AH12,AH13,AH10/AH18)</f>
        <v>6528</v>
      </c>
      <c r="AI29" s="1" cm="1">
        <f t="array" ref="AI29">Comm_TBS(AI11,AI26,AI27,AI12,AI13,AI10/AI18)</f>
        <v>30216</v>
      </c>
      <c r="AJ29" s="1" cm="1">
        <f t="array" ref="AJ29">Comm_TBS(AJ11,AJ26,AJ27,AJ12,AJ13,AJ10/AJ18)</f>
        <v>30216</v>
      </c>
      <c r="AK29" s="1" cm="1">
        <f t="array" ref="AK29">Comm_TBS(AK11,AK26,AK27,AK12,AK13,AK10/AK18)</f>
        <v>30216</v>
      </c>
      <c r="AL29" s="1" cm="1">
        <f t="array" ref="AL29">Comm_TBS(AL11,AL26,AL27,AL12,AL13,AL10/AL18)</f>
        <v>30216</v>
      </c>
      <c r="AM29" s="1" cm="1">
        <f t="array" ref="AM29">Comm_TBS(AM11,AM26,AM27,AM12,AM13,AM10/AM18)</f>
        <v>3840</v>
      </c>
      <c r="AN29" s="1" cm="1">
        <f t="array" ref="AN29">Comm_TBS(AN11,AN26,AN27,AN12,AN13,AN10/AN18)</f>
        <v>3840</v>
      </c>
      <c r="AO29" s="1" cm="1">
        <f t="array" ref="AO29">Comm_TBS(AO11,AO26,AO27,AO12,AO13,AO10/AO18)</f>
        <v>3840</v>
      </c>
      <c r="AP29" s="1" cm="1">
        <f t="array" ref="AP29">Comm_TBS(AP11,AP26,AP27,AP12,AP13,AP10/AP18)</f>
        <v>3840</v>
      </c>
      <c r="AQ29" s="1" cm="1">
        <f t="array" ref="AQ29">Comm_TBS(AQ11,AQ26,AQ27,AQ12,AQ13,AQ10/AQ18)</f>
        <v>3840</v>
      </c>
      <c r="AR29" s="1" cm="1">
        <f t="array" ref="AR29">Comm_TBS(AR11,AR26,AR27,AR12,AR13,AR10/AR18)</f>
        <v>2216</v>
      </c>
      <c r="AS29" s="1" cm="1">
        <f t="array" ref="AS29">Comm_TBS(AS11,AS26,AS27,AS12,AS13,AS10/AS18)</f>
        <v>2216</v>
      </c>
      <c r="AT29" s="11" cm="1">
        <f t="array" ref="AT29">Comm_TBS(AT11,AT26,AT27,AT12,AT13,AT10/AT18)</f>
        <v>2216</v>
      </c>
    </row>
    <row r="30" spans="2:46" x14ac:dyDescent="0.35">
      <c r="B30" s="9" t="s">
        <v>33</v>
      </c>
      <c r="C30" s="1"/>
      <c r="D30" s="28" cm="1">
        <f t="array" ref="D30">Comm_CB(D11,D26,D27,D12,D13,D10/D18)</f>
        <v>35</v>
      </c>
      <c r="E30" s="1" cm="1">
        <f t="array" ref="E30">Comm_CB(E11,E26,E27,E12,E13,E10/E18)</f>
        <v>35</v>
      </c>
      <c r="F30" s="1" cm="1">
        <f t="array" ref="F30">Comm_CB(F11,F26,F27,F12,F13,F10/F18)</f>
        <v>35</v>
      </c>
      <c r="G30" s="1" cm="1">
        <f t="array" ref="G30">Comm_CB(G11,G26,G27,G12,G13,G10/G18)</f>
        <v>35</v>
      </c>
      <c r="H30" s="28" cm="1">
        <f t="array" ref="H30">Comm_CB(H11,H26,H27,H12,H13,H10/H18)</f>
        <v>32</v>
      </c>
      <c r="I30" s="1" cm="1">
        <f t="array" ref="I30">Comm_CB(I11,I26,I27,I12,I13,I10/I18)</f>
        <v>32</v>
      </c>
      <c r="J30" s="1" cm="1">
        <f t="array" ref="J30">Comm_CB(J11,J26,J27,J12,J13,J10/J18)</f>
        <v>32</v>
      </c>
      <c r="K30" s="11" cm="1">
        <f t="array" ref="K30">Comm_CB(K11,K26,K27,K12,K13,K10/K18)</f>
        <v>32</v>
      </c>
      <c r="L30" s="28" cm="1">
        <f t="array" ref="L30">Comm_CB(L11,L26,L27,L12,L13,L10/L18)</f>
        <v>30</v>
      </c>
      <c r="M30" s="1" cm="1">
        <f t="array" ref="M30">Comm_CB(M11,M26,M27,M12,M13,M10/M18)</f>
        <v>30</v>
      </c>
      <c r="N30" s="1" cm="1">
        <f t="array" ref="N30">Comm_CB(N11,N26,N27,N12,N13,N10/N18)</f>
        <v>30</v>
      </c>
      <c r="O30" s="11" cm="1">
        <f t="array" ref="O30">Comm_CB(O11,O26,O27,O12,O13,O10/O18)</f>
        <v>30</v>
      </c>
      <c r="P30" s="28" cm="1">
        <f t="array" ref="P30">Comm_CB(P11,P26,P27,P12,P13,P10/P18)</f>
        <v>28</v>
      </c>
      <c r="Q30" s="1" cm="1">
        <f t="array" ref="Q30">Comm_CB(Q11,Q26,Q27,Q12,Q13,Q10/Q18)</f>
        <v>28</v>
      </c>
      <c r="R30" s="1" cm="1">
        <f t="array" ref="R30">Comm_CB(R11,R26,R27,R12,R13,R10/R18)</f>
        <v>28</v>
      </c>
      <c r="S30" s="11" cm="1">
        <f t="array" ref="S30">Comm_CB(S11,S26,S27,S12,S13,S10/S18)</f>
        <v>28</v>
      </c>
      <c r="T30" s="28" cm="1">
        <f t="array" ref="T30">Comm_CB(T11,T26,T27,T12,T13,T10/T18)</f>
        <v>26</v>
      </c>
      <c r="U30" s="1" cm="1">
        <f t="array" ref="U30">Comm_CB(U11,U26,U27,U12,U13,U10/U18)</f>
        <v>26</v>
      </c>
      <c r="V30" s="1" cm="1">
        <f t="array" ref="V30">Comm_CB(V11,V26,V27,V12,V13,V10/V18)</f>
        <v>26</v>
      </c>
      <c r="W30" s="11" cm="1">
        <f t="array" ref="W30">Comm_CB(W11,W26,W27,W12,W13,W10/W18)</f>
        <v>26</v>
      </c>
      <c r="X30" s="28" cm="1">
        <f t="array" ref="X30">Comm_CB(X11,X26,X27,X12,X13,X10/X18)</f>
        <v>24</v>
      </c>
      <c r="Y30" s="1" cm="1">
        <f t="array" ref="Y30">Comm_CB(Y11,Y26,Y27,Y12,Y13,Y10/Y18)</f>
        <v>24</v>
      </c>
      <c r="Z30" s="1" cm="1">
        <f t="array" ref="Z30">Comm_CB(Z11,Z26,Z27,Z12,Z13,Z10/Z18)</f>
        <v>24</v>
      </c>
      <c r="AA30" s="11" cm="1">
        <f t="array" ref="AA30">Comm_CB(AA11,AA26,AA27,AA12,AA13,AA10/AA18)</f>
        <v>24</v>
      </c>
      <c r="AB30" s="28" cm="1">
        <f t="array" ref="AB30">Comm_CB(AB11,AB26,AB27,AB12,AB13,AB10/AB18)</f>
        <v>33</v>
      </c>
      <c r="AC30" s="1" cm="1">
        <f t="array" ref="AC30">Comm_CB(AC11,AC26,AC27,AC12,AC13,AC10/AC18)</f>
        <v>33</v>
      </c>
      <c r="AD30" s="1" cm="1">
        <f t="array" ref="AD30">Comm_CB(AD11,AD26,AD27,AD12,AD13,AD10/AD18)</f>
        <v>33</v>
      </c>
      <c r="AE30" s="11" cm="1">
        <f t="array" ref="AE30">Comm_CB(AE11,AE26,AE27,AE12,AE13,AE10/AE18)</f>
        <v>33</v>
      </c>
      <c r="AF30" s="28" cm="1">
        <f t="array" ref="AF30">Comm_CB(AF11,AF26,AF27,AF12,AF13,AF10/AF18)</f>
        <v>15</v>
      </c>
      <c r="AG30" s="1" cm="1">
        <f t="array" ref="AG30">Comm_CB(AG11,AG26,AG27,AG12,AG13,AG10/AG18)</f>
        <v>3</v>
      </c>
      <c r="AH30" s="11" cm="1">
        <f t="array" ref="AH30">Comm_CB(AH11,AH26,AH27,AH12,AH13,AH10/AH18)</f>
        <v>1</v>
      </c>
      <c r="AI30" s="1" cm="1">
        <f t="array" ref="AI30">Comm_CB(AI11,AI26,AI27,AI12,AI13,AI10/AI18)</f>
        <v>4</v>
      </c>
      <c r="AJ30" s="1" cm="1">
        <f t="array" ref="AJ30">Comm_CB(AJ11,AJ26,AJ27,AJ12,AJ13,AJ10/AJ18)</f>
        <v>4</v>
      </c>
      <c r="AK30" s="1" cm="1">
        <f t="array" ref="AK30">Comm_CB(AK11,AK26,AK27,AK12,AK13,AK10/AK18)</f>
        <v>4</v>
      </c>
      <c r="AL30" s="1" cm="1">
        <f t="array" ref="AL30">Comm_CB(AL11,AL26,AL27,AL12,AL13,AL10/AL18)</f>
        <v>4</v>
      </c>
      <c r="AM30" s="1" cm="1">
        <f t="array" ref="AM30">Comm_CB(AM11,AM26,AM27,AM12,AM13,AM10/AM18)</f>
        <v>1</v>
      </c>
      <c r="AN30" s="1" cm="1">
        <f t="array" ref="AN30">Comm_CB(AN11,AN26,AN27,AN12,AN13,AN10/AN18)</f>
        <v>1</v>
      </c>
      <c r="AO30" s="1" cm="1">
        <f t="array" ref="AO30">Comm_CB(AO11,AO26,AO27,AO12,AO13,AO10/AO18)</f>
        <v>1</v>
      </c>
      <c r="AP30" s="1" cm="1">
        <f t="array" ref="AP30">Comm_CB(AP11,AP26,AP27,AP12,AP13,AP10/AP18)</f>
        <v>1</v>
      </c>
      <c r="AQ30" s="1" cm="1">
        <f t="array" ref="AQ30">Comm_CB(AQ11,AQ26,AQ27,AQ12,AQ13,AQ10/AQ18)</f>
        <v>1</v>
      </c>
      <c r="AR30" s="1" cm="1">
        <f t="array" ref="AR30">Comm_CB(AR11,AR26,AR27,AR12,AR13,AR10/AR18)</f>
        <v>1</v>
      </c>
      <c r="AS30" s="1" cm="1">
        <f t="array" ref="AS30">Comm_CB(AS11,AS26,AS27,AS12,AS13,AS10/AS18)</f>
        <v>1</v>
      </c>
      <c r="AT30" s="11" cm="1">
        <f t="array" ref="AT30">Comm_CB(AT11,AT26,AT27,AT12,AT13,AT10/AT18)</f>
        <v>1</v>
      </c>
    </row>
    <row r="31" spans="2:46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0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1" cm="1">
        <f t="array" ref="J31">Comm_Parity_Nodes(J11,J26,J27,J12,J13,J10/J18)</f>
        <v>4</v>
      </c>
      <c r="K31" s="12" cm="1">
        <f t="array" ref="K31">Comm_Parity_Nodes(K11,K26,K27,K12,K13,K10/K18)</f>
        <v>4</v>
      </c>
      <c r="L31" s="30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12" cm="1">
        <f t="array" ref="O31">Comm_Parity_Nodes(O11,O26,O27,O12,O13,O10/O18)</f>
        <v>4</v>
      </c>
      <c r="P31" s="30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12" cm="1">
        <f t="array" ref="S31">Comm_Parity_Nodes(S11,S26,S27,S12,S13,S10/S18)</f>
        <v>4</v>
      </c>
      <c r="T31" s="30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1" cm="1">
        <f t="array" ref="V31">Comm_Parity_Nodes(V11,V26,V27,V12,V13,V10/V18)</f>
        <v>4</v>
      </c>
      <c r="W31" s="12" cm="1">
        <f t="array" ref="W31">Comm_Parity_Nodes(W11,W26,W27,W12,W13,W10/W18)</f>
        <v>4</v>
      </c>
      <c r="X31" s="30" cm="1">
        <f t="array" ref="X31">Comm_Parity_Nodes(X11,X26,X27,X12,X13,X10/X18)</f>
        <v>4</v>
      </c>
      <c r="Y31" s="31" cm="1">
        <f t="array" ref="Y31">Comm_Parity_Nodes(Y11,Y26,Y27,Y12,Y13,Y10/Y18)</f>
        <v>4</v>
      </c>
      <c r="Z31" s="31" cm="1">
        <f t="array" ref="Z31">Comm_Parity_Nodes(Z11,Z26,Z27,Z12,Z13,Z10/Z18)</f>
        <v>4</v>
      </c>
      <c r="AA31" s="12" cm="1">
        <f t="array" ref="AA31">Comm_Parity_Nodes(AA11,AA26,AA27,AA12,AA13,AA10/AA18)</f>
        <v>4</v>
      </c>
      <c r="AB31" s="30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12" cm="1">
        <f t="array" ref="AE31">Comm_Parity_Nodes(AE11,AE26,AE27,AE12,AE13,AE10/AE18)</f>
        <v>4</v>
      </c>
      <c r="AF31" s="30" cm="1">
        <f t="array" ref="AF31">Comm_Parity_Nodes(AF11,AF26,AF27,AF12,AF13,AF10/AF18)</f>
        <v>7</v>
      </c>
      <c r="AG31" s="31" cm="1">
        <f t="array" ref="AG31">Comm_Parity_Nodes(AG11,AG26,AG27,AG12,AG13,AG10/AG18)</f>
        <v>19</v>
      </c>
      <c r="AH31" s="12" cm="1">
        <f t="array" ref="AH31">Comm_Parity_Nodes(AH11,AH26,AH27,AH12,AH13,AH10/AH18)</f>
        <v>25</v>
      </c>
      <c r="AI31" s="31" cm="1">
        <f t="array" ref="AI31">Comm_Parity_Nodes(AI11,AI26,AI27,AI12,AI13,AI10/AI18)</f>
        <v>7</v>
      </c>
      <c r="AJ31" s="31" cm="1">
        <f t="array" ref="AJ31">Comm_Parity_Nodes(AJ11,AJ26,AJ27,AJ12,AJ13,AJ10/AJ18)</f>
        <v>7</v>
      </c>
      <c r="AK31" s="31" cm="1">
        <f t="array" ref="AK31">Comm_Parity_Nodes(AK11,AK26,AK27,AK12,AK13,AK10/AK18)</f>
        <v>7</v>
      </c>
      <c r="AL31" s="31" cm="1">
        <f t="array" ref="AL31">Comm_Parity_Nodes(AL11,AL26,AL27,AL12,AL13,AL10/AL18)</f>
        <v>7</v>
      </c>
      <c r="AM31" s="31" cm="1">
        <f t="array" ref="AM31">Comm_Parity_Nodes(AM11,AM26,AM27,AM12,AM13,AM10/AM18)</f>
        <v>20</v>
      </c>
      <c r="AN31" s="31" cm="1">
        <f t="array" ref="AN31">Comm_Parity_Nodes(AN11,AN26,AN27,AN12,AN13,AN10/AN18)</f>
        <v>20</v>
      </c>
      <c r="AO31" s="31" cm="1">
        <f t="array" ref="AO31">Comm_Parity_Nodes(AO11,AO26,AO27,AO12,AO13,AO10/AO18)</f>
        <v>20</v>
      </c>
      <c r="AP31" s="31" cm="1">
        <f t="array" ref="AP31">Comm_Parity_Nodes(AP11,AP26,AP27,AP12,AP13,AP10/AP18)</f>
        <v>20</v>
      </c>
      <c r="AQ31" s="31" cm="1">
        <f t="array" ref="AQ31">Comm_Parity_Nodes(AQ11,AQ26,AQ27,AQ12,AQ13,AQ10/AQ18)</f>
        <v>20</v>
      </c>
      <c r="AR31" s="31" cm="1">
        <f t="array" ref="AR31">Comm_Parity_Nodes(AR11,AR26,AR27,AR12,AR13,AR10/AR18)</f>
        <v>13</v>
      </c>
      <c r="AS31" s="31" cm="1">
        <f t="array" ref="AS31">Comm_Parity_Nodes(AS11,AS26,AS27,AS12,AS13,AS10/AS18)</f>
        <v>13</v>
      </c>
      <c r="AT31" s="12" cm="1">
        <f t="array" ref="AT31">Comm_Parity_Nodes(AT11,AT26,AT27,AT12,AT13,AT10/AT18)</f>
        <v>13</v>
      </c>
    </row>
    <row r="32" spans="2:46" x14ac:dyDescent="0.35">
      <c r="B32" s="6" t="s">
        <v>35</v>
      </c>
      <c r="D32" s="29"/>
      <c r="E32" s="17"/>
      <c r="F32" s="17"/>
      <c r="G32" s="17"/>
      <c r="H32" s="29"/>
      <c r="I32" s="17"/>
      <c r="J32" s="17"/>
      <c r="K32" s="16"/>
      <c r="L32" s="29"/>
      <c r="M32" s="17"/>
      <c r="N32" s="17"/>
      <c r="O32" s="16"/>
      <c r="P32" s="29"/>
      <c r="Q32" s="17"/>
      <c r="R32" s="17"/>
      <c r="S32" s="16"/>
      <c r="T32" s="29"/>
      <c r="U32" s="17"/>
      <c r="V32" s="17"/>
      <c r="W32" s="16"/>
      <c r="X32" s="29"/>
      <c r="Y32" s="17"/>
      <c r="Z32" s="17"/>
      <c r="AA32" s="16"/>
      <c r="AB32" s="29"/>
      <c r="AC32" s="17"/>
      <c r="AD32" s="17"/>
      <c r="AE32" s="16"/>
      <c r="AF32" s="37"/>
      <c r="AG32" s="18"/>
      <c r="AH32" s="13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3"/>
    </row>
    <row r="33" spans="2:46" x14ac:dyDescent="0.35">
      <c r="B33" s="9" t="s">
        <v>36</v>
      </c>
      <c r="D33" s="26"/>
      <c r="H33" s="26"/>
      <c r="K33" s="19"/>
      <c r="L33" s="26"/>
      <c r="O33" s="19"/>
      <c r="P33" s="26"/>
      <c r="S33" s="19"/>
      <c r="T33" s="26"/>
      <c r="W33" s="19"/>
      <c r="X33" s="26"/>
      <c r="AA33" s="19"/>
      <c r="AB33" s="26"/>
      <c r="AE33" s="19"/>
      <c r="AF33" s="26"/>
      <c r="AH33" s="19"/>
      <c r="AT33" s="19"/>
    </row>
    <row r="34" spans="2:46" ht="15" thickBot="1" x14ac:dyDescent="0.4">
      <c r="B34" s="9" t="s">
        <v>56</v>
      </c>
      <c r="D34" s="38">
        <f>SUMPRODUCT(D18:G18, D29:G29)   / 5 / 0.5/1000/1000</f>
        <v>0.9183231999999999</v>
      </c>
      <c r="E34" s="32"/>
      <c r="F34" s="32"/>
      <c r="G34" s="32"/>
      <c r="H34" s="38">
        <f>SUMPRODUCT(H18:K18, H29:K29)   / 5 / 0.5/1000/1000</f>
        <v>0.83960319999999988</v>
      </c>
      <c r="I34" s="32"/>
      <c r="J34" s="32"/>
      <c r="K34" s="33"/>
      <c r="L34" s="38">
        <f>SUMPRODUCT(L18:O18, L29:O29)   / 5 / 0.5/1000/1000</f>
        <v>0.78712320000000002</v>
      </c>
      <c r="M34" s="32"/>
      <c r="N34" s="32"/>
      <c r="O34" s="33"/>
      <c r="P34" s="38">
        <f>SUMPRODUCT(P18:S18, P29:S29)   / 5 / 0.5/1000/1000</f>
        <v>0.73464319999999994</v>
      </c>
      <c r="Q34" s="32"/>
      <c r="R34" s="32"/>
      <c r="S34" s="33"/>
      <c r="T34" s="38">
        <f>SUMPRODUCT(T18:W18, T29:W29)   / 5 / 0.5/1000/1000</f>
        <v>0.69480959999999992</v>
      </c>
      <c r="U34" s="32"/>
      <c r="V34" s="32"/>
      <c r="W34" s="33"/>
      <c r="X34" s="38">
        <f>SUMPRODUCT(X18:AA18, X29:AA29)   / 5 / 0.5/1000/1000</f>
        <v>0.64258559999999998</v>
      </c>
      <c r="Y34" s="32"/>
      <c r="Z34" s="32"/>
      <c r="AA34" s="33"/>
      <c r="AB34" s="38">
        <f>SUMPRODUCT(AB18:AE18, AB29:AE29)   / 5 / 0.5/1000/1000</f>
        <v>0.86584319999999992</v>
      </c>
      <c r="AC34" s="32"/>
      <c r="AD34" s="32"/>
      <c r="AE34" s="33"/>
      <c r="AF34" s="38">
        <f>SUMPRODUCT(AF18:AH18,AF29:AH29)  / 5 / 0.5/1000/1000</f>
        <v>0.114528</v>
      </c>
      <c r="AG34" s="32"/>
      <c r="AH34" s="33"/>
      <c r="AI34" s="32">
        <f>SUMPRODUCT(AI18:AT18,AI29:AT29)  / 5 / 0.5/1000/1000</f>
        <v>0.11471039999999999</v>
      </c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3"/>
    </row>
    <row r="35" spans="2:46" x14ac:dyDescent="0.35">
      <c r="D35" s="1"/>
      <c r="E35" s="1"/>
      <c r="F35" s="1"/>
      <c r="G35" s="1"/>
      <c r="H35" s="1"/>
      <c r="I35" s="1"/>
      <c r="J35" s="1"/>
      <c r="K35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AC01B-CEF7-44F4-AE16-DC659C0DA16E}">
  <dimension ref="B1:AM34"/>
  <sheetViews>
    <sheetView topLeftCell="D1" workbookViewId="0">
      <selection activeCell="AJ2" sqref="AJ2:AM34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3" width="1.453125" customWidth="1"/>
  </cols>
  <sheetData>
    <row r="1" spans="2:39" ht="15" thickBot="1" x14ac:dyDescent="0.4"/>
    <row r="2" spans="2:39" x14ac:dyDescent="0.35">
      <c r="B2" s="2" t="s">
        <v>0</v>
      </c>
      <c r="C2" s="1"/>
      <c r="D2" s="21" t="s">
        <v>55</v>
      </c>
      <c r="E2" s="22"/>
      <c r="F2" s="22"/>
      <c r="G2" s="22"/>
      <c r="H2" s="21" t="s">
        <v>61</v>
      </c>
      <c r="I2" s="22"/>
      <c r="J2" s="22"/>
      <c r="K2" s="23"/>
      <c r="L2" s="21" t="s">
        <v>65</v>
      </c>
      <c r="M2" s="22"/>
      <c r="N2" s="22"/>
      <c r="O2" s="23"/>
      <c r="P2" s="21" t="s">
        <v>72</v>
      </c>
      <c r="Q2" s="22"/>
      <c r="R2" s="22"/>
      <c r="S2" s="23"/>
      <c r="T2" s="21" t="s">
        <v>73</v>
      </c>
      <c r="U2" s="22"/>
      <c r="V2" s="22"/>
      <c r="W2" s="23"/>
      <c r="X2" s="21" t="s">
        <v>74</v>
      </c>
      <c r="Y2" s="22"/>
      <c r="Z2" s="22"/>
      <c r="AA2" s="23"/>
      <c r="AB2" s="21" t="s">
        <v>77</v>
      </c>
      <c r="AC2" s="22"/>
      <c r="AD2" s="22"/>
      <c r="AE2" s="23"/>
      <c r="AF2" s="21" t="s">
        <v>128</v>
      </c>
      <c r="AG2" s="22"/>
      <c r="AH2" s="21" t="s">
        <v>129</v>
      </c>
      <c r="AI2" s="22"/>
      <c r="AJ2" s="21" t="s">
        <v>132</v>
      </c>
      <c r="AK2" s="22"/>
      <c r="AL2" s="21" t="s">
        <v>133</v>
      </c>
      <c r="AM2" s="22"/>
    </row>
    <row r="3" spans="2:39" x14ac:dyDescent="0.35">
      <c r="B3" s="3" t="s">
        <v>3</v>
      </c>
      <c r="C3" s="1"/>
      <c r="D3" s="26">
        <v>100</v>
      </c>
      <c r="E3">
        <v>100</v>
      </c>
      <c r="F3">
        <v>100</v>
      </c>
      <c r="G3">
        <v>100</v>
      </c>
      <c r="H3" s="26">
        <v>100</v>
      </c>
      <c r="I3">
        <v>100</v>
      </c>
      <c r="J3">
        <v>100</v>
      </c>
      <c r="K3" s="19">
        <v>100</v>
      </c>
      <c r="L3" s="26">
        <v>100</v>
      </c>
      <c r="M3">
        <v>100</v>
      </c>
      <c r="N3">
        <v>100</v>
      </c>
      <c r="O3" s="19">
        <v>100</v>
      </c>
      <c r="P3" s="26">
        <v>100</v>
      </c>
      <c r="Q3">
        <v>100</v>
      </c>
      <c r="R3">
        <v>100</v>
      </c>
      <c r="S3" s="19">
        <v>100</v>
      </c>
      <c r="T3" s="26">
        <v>100</v>
      </c>
      <c r="U3">
        <v>100</v>
      </c>
      <c r="V3">
        <v>100</v>
      </c>
      <c r="W3" s="19">
        <v>100</v>
      </c>
      <c r="X3" s="26">
        <v>100</v>
      </c>
      <c r="Y3">
        <v>100</v>
      </c>
      <c r="Z3">
        <v>100</v>
      </c>
      <c r="AA3" s="19">
        <v>100</v>
      </c>
      <c r="AB3" s="26">
        <v>100</v>
      </c>
      <c r="AC3">
        <v>100</v>
      </c>
      <c r="AD3">
        <v>100</v>
      </c>
      <c r="AE3" s="19">
        <v>100</v>
      </c>
      <c r="AF3" s="26">
        <v>100</v>
      </c>
      <c r="AG3">
        <v>100</v>
      </c>
      <c r="AH3" s="26">
        <v>100</v>
      </c>
      <c r="AI3">
        <v>100</v>
      </c>
      <c r="AJ3" s="26">
        <v>20</v>
      </c>
      <c r="AK3">
        <v>20</v>
      </c>
      <c r="AL3" s="26">
        <v>20</v>
      </c>
      <c r="AM3">
        <v>20</v>
      </c>
    </row>
    <row r="4" spans="2:39" x14ac:dyDescent="0.35">
      <c r="B4" s="3" t="s">
        <v>4</v>
      </c>
      <c r="C4" s="1"/>
      <c r="D4" s="26">
        <v>273</v>
      </c>
      <c r="E4">
        <v>273</v>
      </c>
      <c r="F4">
        <v>273</v>
      </c>
      <c r="G4">
        <v>273</v>
      </c>
      <c r="H4" s="26">
        <v>273</v>
      </c>
      <c r="I4">
        <v>273</v>
      </c>
      <c r="J4">
        <v>273</v>
      </c>
      <c r="K4" s="19">
        <v>273</v>
      </c>
      <c r="L4" s="26">
        <v>273</v>
      </c>
      <c r="M4">
        <v>273</v>
      </c>
      <c r="N4">
        <v>273</v>
      </c>
      <c r="O4" s="19">
        <v>273</v>
      </c>
      <c r="P4" s="26">
        <v>273</v>
      </c>
      <c r="Q4">
        <v>273</v>
      </c>
      <c r="R4">
        <v>273</v>
      </c>
      <c r="S4" s="19">
        <v>273</v>
      </c>
      <c r="T4" s="26">
        <v>273</v>
      </c>
      <c r="U4">
        <v>273</v>
      </c>
      <c r="V4">
        <v>273</v>
      </c>
      <c r="W4" s="19">
        <v>273</v>
      </c>
      <c r="X4" s="26">
        <v>273</v>
      </c>
      <c r="Y4">
        <v>273</v>
      </c>
      <c r="Z4">
        <v>273</v>
      </c>
      <c r="AA4" s="19">
        <v>273</v>
      </c>
      <c r="AB4" s="26">
        <v>273</v>
      </c>
      <c r="AC4">
        <v>273</v>
      </c>
      <c r="AD4">
        <v>273</v>
      </c>
      <c r="AE4" s="19">
        <v>273</v>
      </c>
      <c r="AF4" s="26">
        <v>273</v>
      </c>
      <c r="AG4">
        <v>273</v>
      </c>
      <c r="AH4" s="26">
        <v>273</v>
      </c>
      <c r="AI4">
        <v>273</v>
      </c>
      <c r="AJ4" s="26">
        <v>51</v>
      </c>
      <c r="AK4">
        <v>51</v>
      </c>
      <c r="AL4" s="26">
        <v>51</v>
      </c>
      <c r="AM4">
        <v>51</v>
      </c>
    </row>
    <row r="5" spans="2:39" x14ac:dyDescent="0.35">
      <c r="B5" s="3" t="s">
        <v>5</v>
      </c>
      <c r="D5" s="26">
        <v>272</v>
      </c>
      <c r="E5">
        <v>272</v>
      </c>
      <c r="F5">
        <v>272</v>
      </c>
      <c r="G5">
        <v>272</v>
      </c>
      <c r="H5" s="26">
        <v>272</v>
      </c>
      <c r="I5">
        <v>272</v>
      </c>
      <c r="J5">
        <v>272</v>
      </c>
      <c r="K5" s="19">
        <v>272</v>
      </c>
      <c r="L5" s="26">
        <v>272</v>
      </c>
      <c r="M5">
        <v>272</v>
      </c>
      <c r="N5">
        <v>272</v>
      </c>
      <c r="O5" s="19">
        <v>272</v>
      </c>
      <c r="P5" s="26">
        <v>272</v>
      </c>
      <c r="Q5">
        <v>272</v>
      </c>
      <c r="R5">
        <v>272</v>
      </c>
      <c r="S5" s="19">
        <v>272</v>
      </c>
      <c r="T5" s="26">
        <v>272</v>
      </c>
      <c r="U5">
        <v>272</v>
      </c>
      <c r="V5">
        <v>272</v>
      </c>
      <c r="W5" s="19">
        <v>272</v>
      </c>
      <c r="X5" s="26">
        <v>272</v>
      </c>
      <c r="Y5">
        <v>272</v>
      </c>
      <c r="Z5">
        <v>272</v>
      </c>
      <c r="AA5" s="19">
        <v>272</v>
      </c>
      <c r="AB5" s="26">
        <v>272</v>
      </c>
      <c r="AC5">
        <v>272</v>
      </c>
      <c r="AD5">
        <v>272</v>
      </c>
      <c r="AE5" s="19">
        <v>272</v>
      </c>
      <c r="AF5" s="26">
        <v>272</v>
      </c>
      <c r="AG5">
        <v>272</v>
      </c>
      <c r="AH5" s="26">
        <v>272</v>
      </c>
      <c r="AI5">
        <v>272</v>
      </c>
      <c r="AJ5" s="26">
        <v>50</v>
      </c>
      <c r="AK5">
        <v>50</v>
      </c>
      <c r="AL5" s="26">
        <v>50</v>
      </c>
      <c r="AM5">
        <v>50</v>
      </c>
    </row>
    <row r="6" spans="2:39" x14ac:dyDescent="0.35">
      <c r="B6" s="3" t="s">
        <v>6</v>
      </c>
      <c r="C6" s="1"/>
      <c r="D6" s="26">
        <v>1</v>
      </c>
      <c r="E6">
        <v>2</v>
      </c>
      <c r="F6">
        <v>3</v>
      </c>
      <c r="G6">
        <v>4</v>
      </c>
      <c r="H6" s="26">
        <v>1</v>
      </c>
      <c r="I6">
        <v>2</v>
      </c>
      <c r="J6">
        <v>3</v>
      </c>
      <c r="K6" s="19">
        <v>4</v>
      </c>
      <c r="L6" s="26">
        <v>1</v>
      </c>
      <c r="M6">
        <v>2</v>
      </c>
      <c r="N6">
        <v>3</v>
      </c>
      <c r="O6" s="19">
        <v>4</v>
      </c>
      <c r="P6" s="26">
        <v>1</v>
      </c>
      <c r="Q6">
        <v>2</v>
      </c>
      <c r="R6">
        <v>3</v>
      </c>
      <c r="S6" s="19">
        <v>4</v>
      </c>
      <c r="T6" s="26">
        <v>1</v>
      </c>
      <c r="U6">
        <v>2</v>
      </c>
      <c r="V6">
        <v>3</v>
      </c>
      <c r="W6" s="19">
        <v>4</v>
      </c>
      <c r="X6" s="26">
        <v>1</v>
      </c>
      <c r="Y6">
        <v>2</v>
      </c>
      <c r="Z6">
        <v>3</v>
      </c>
      <c r="AA6" s="19">
        <v>4</v>
      </c>
      <c r="AB6" s="26">
        <v>1</v>
      </c>
      <c r="AC6">
        <v>2</v>
      </c>
      <c r="AD6">
        <v>3</v>
      </c>
      <c r="AE6" s="19">
        <v>4</v>
      </c>
      <c r="AF6" s="26">
        <v>1</v>
      </c>
      <c r="AG6">
        <v>2</v>
      </c>
      <c r="AH6" s="26">
        <v>1</v>
      </c>
      <c r="AI6">
        <v>2</v>
      </c>
      <c r="AJ6" s="26">
        <v>1</v>
      </c>
      <c r="AK6">
        <v>2</v>
      </c>
      <c r="AL6" s="26">
        <v>1</v>
      </c>
      <c r="AM6">
        <v>2</v>
      </c>
    </row>
    <row r="7" spans="2:39" x14ac:dyDescent="0.35">
      <c r="B7" s="3" t="s">
        <v>7</v>
      </c>
      <c r="C7" s="1"/>
      <c r="D7" s="27">
        <f>D11/D5</f>
        <v>0.25</v>
      </c>
      <c r="E7" s="14">
        <f t="shared" ref="E7:G7" si="0">E11/E5</f>
        <v>0.25</v>
      </c>
      <c r="F7" s="14">
        <f t="shared" si="0"/>
        <v>0.25</v>
      </c>
      <c r="G7" s="14">
        <f t="shared" si="0"/>
        <v>0.25</v>
      </c>
      <c r="H7" s="27">
        <f>H11/H5</f>
        <v>0.22426470588235295</v>
      </c>
      <c r="I7" s="14">
        <f t="shared" ref="I7:K7" si="1">I11/I5</f>
        <v>0.22426470588235295</v>
      </c>
      <c r="J7" s="14">
        <f t="shared" si="1"/>
        <v>0.22426470588235295</v>
      </c>
      <c r="K7" s="15">
        <f t="shared" si="1"/>
        <v>0.22426470588235295</v>
      </c>
      <c r="L7" s="27">
        <f>L11/L5</f>
        <v>0.21323529411764705</v>
      </c>
      <c r="M7" s="14">
        <f t="shared" ref="M7:O7" si="2">M11/M5</f>
        <v>0.21323529411764705</v>
      </c>
      <c r="N7" s="14">
        <f t="shared" si="2"/>
        <v>0.21323529411764705</v>
      </c>
      <c r="O7" s="15">
        <f t="shared" si="2"/>
        <v>0.21323529411764705</v>
      </c>
      <c r="P7" s="27">
        <f>P11/P5</f>
        <v>0.19852941176470587</v>
      </c>
      <c r="Q7" s="14">
        <f t="shared" ref="Q7:S7" si="3">Q11/Q5</f>
        <v>0.19852941176470587</v>
      </c>
      <c r="R7" s="14">
        <f t="shared" si="3"/>
        <v>0.19852941176470587</v>
      </c>
      <c r="S7" s="15">
        <f t="shared" si="3"/>
        <v>0.19852941176470587</v>
      </c>
      <c r="T7" s="27">
        <f>T11/T5</f>
        <v>0.1875</v>
      </c>
      <c r="U7" s="14">
        <f t="shared" ref="U7:W7" si="4">U11/U5</f>
        <v>0.1875</v>
      </c>
      <c r="V7" s="14">
        <f t="shared" si="4"/>
        <v>0.1875</v>
      </c>
      <c r="W7" s="15">
        <f t="shared" si="4"/>
        <v>0.1875</v>
      </c>
      <c r="X7" s="27">
        <f>X11/X5</f>
        <v>0.17279411764705882</v>
      </c>
      <c r="Y7" s="14">
        <f t="shared" ref="Y7:AA7" si="5">Y11/Y5</f>
        <v>0.17279411764705882</v>
      </c>
      <c r="Z7" s="14">
        <f t="shared" si="5"/>
        <v>0.17279411764705882</v>
      </c>
      <c r="AA7" s="15">
        <f t="shared" si="5"/>
        <v>0.17279411764705882</v>
      </c>
      <c r="AB7" s="27">
        <f>AB11/AB5</f>
        <v>0.23529411764705882</v>
      </c>
      <c r="AC7" s="14">
        <f t="shared" ref="AC7:AE7" si="6">AC11/AC5</f>
        <v>0.23529411764705882</v>
      </c>
      <c r="AD7" s="14">
        <f t="shared" si="6"/>
        <v>0.23529411764705882</v>
      </c>
      <c r="AE7" s="15">
        <f t="shared" si="6"/>
        <v>0.23529411764705882</v>
      </c>
      <c r="AF7" s="27">
        <f>AF11/AF5</f>
        <v>0.5</v>
      </c>
      <c r="AG7" s="14">
        <f t="shared" ref="AG7" si="7">AG11/AG5</f>
        <v>0.5</v>
      </c>
      <c r="AH7" s="27">
        <f>AH11/AH5</f>
        <v>0.25</v>
      </c>
      <c r="AI7" s="14">
        <f t="shared" ref="AI7" si="8">AI11/AI5</f>
        <v>0.25</v>
      </c>
      <c r="AJ7" s="27">
        <f>AJ11/AJ5</f>
        <v>0.5</v>
      </c>
      <c r="AK7" s="14">
        <f t="shared" ref="AK7" si="9">AK11/AK5</f>
        <v>0.5</v>
      </c>
      <c r="AL7" s="27">
        <f>AL11/AL5</f>
        <v>0.24</v>
      </c>
      <c r="AM7" s="14">
        <f t="shared" ref="AM7" si="10">AM11/AM5</f>
        <v>0.24</v>
      </c>
    </row>
    <row r="8" spans="2:39" x14ac:dyDescent="0.35">
      <c r="B8" s="4" t="s">
        <v>8</v>
      </c>
      <c r="C8" s="1"/>
      <c r="D8" s="26">
        <v>1</v>
      </c>
      <c r="E8">
        <v>1</v>
      </c>
      <c r="F8">
        <v>1</v>
      </c>
      <c r="G8">
        <v>1</v>
      </c>
      <c r="H8" s="26">
        <v>1</v>
      </c>
      <c r="I8">
        <v>1</v>
      </c>
      <c r="J8">
        <v>1</v>
      </c>
      <c r="K8" s="19">
        <v>1</v>
      </c>
      <c r="L8" s="26">
        <v>1</v>
      </c>
      <c r="M8">
        <v>1</v>
      </c>
      <c r="N8">
        <v>1</v>
      </c>
      <c r="O8" s="19">
        <v>1</v>
      </c>
      <c r="P8" s="26">
        <v>1</v>
      </c>
      <c r="Q8">
        <v>1</v>
      </c>
      <c r="R8">
        <v>1</v>
      </c>
      <c r="S8" s="19">
        <v>1</v>
      </c>
      <c r="T8" s="26">
        <v>1</v>
      </c>
      <c r="U8">
        <v>1</v>
      </c>
      <c r="V8">
        <v>1</v>
      </c>
      <c r="W8" s="19">
        <v>1</v>
      </c>
      <c r="X8" s="26">
        <v>1</v>
      </c>
      <c r="Y8">
        <v>1</v>
      </c>
      <c r="Z8">
        <v>1</v>
      </c>
      <c r="AA8" s="19">
        <v>1</v>
      </c>
      <c r="AB8" s="26">
        <v>1</v>
      </c>
      <c r="AC8">
        <v>1</v>
      </c>
      <c r="AD8">
        <v>1</v>
      </c>
      <c r="AE8" s="19">
        <v>1</v>
      </c>
      <c r="AF8" s="26">
        <v>1</v>
      </c>
      <c r="AG8">
        <v>1</v>
      </c>
      <c r="AH8" s="26">
        <v>1</v>
      </c>
      <c r="AI8">
        <v>1</v>
      </c>
      <c r="AJ8" s="26">
        <v>1</v>
      </c>
      <c r="AK8">
        <v>1</v>
      </c>
      <c r="AL8" s="26">
        <v>1</v>
      </c>
      <c r="AM8">
        <v>1</v>
      </c>
    </row>
    <row r="9" spans="2:39" x14ac:dyDescent="0.35">
      <c r="B9" s="4" t="s">
        <v>9</v>
      </c>
      <c r="C9" s="1"/>
      <c r="D9" s="26">
        <v>16</v>
      </c>
      <c r="E9">
        <v>16</v>
      </c>
      <c r="F9">
        <v>16</v>
      </c>
      <c r="G9">
        <v>16</v>
      </c>
      <c r="H9" s="26">
        <v>16</v>
      </c>
      <c r="I9">
        <v>16</v>
      </c>
      <c r="J9">
        <v>16</v>
      </c>
      <c r="K9" s="19">
        <v>16</v>
      </c>
      <c r="L9" s="26">
        <v>16</v>
      </c>
      <c r="M9">
        <v>16</v>
      </c>
      <c r="N9">
        <v>16</v>
      </c>
      <c r="O9" s="19">
        <v>16</v>
      </c>
      <c r="P9" s="26">
        <v>16</v>
      </c>
      <c r="Q9">
        <v>16</v>
      </c>
      <c r="R9">
        <v>16</v>
      </c>
      <c r="S9" s="19">
        <v>16</v>
      </c>
      <c r="T9" s="26">
        <v>16</v>
      </c>
      <c r="U9">
        <v>16</v>
      </c>
      <c r="V9">
        <v>16</v>
      </c>
      <c r="W9" s="19">
        <v>16</v>
      </c>
      <c r="X9" s="26">
        <v>16</v>
      </c>
      <c r="Y9">
        <v>16</v>
      </c>
      <c r="Z9">
        <v>16</v>
      </c>
      <c r="AA9" s="19">
        <v>16</v>
      </c>
      <c r="AB9" s="26">
        <v>16</v>
      </c>
      <c r="AC9">
        <v>16</v>
      </c>
      <c r="AD9">
        <v>16</v>
      </c>
      <c r="AE9" s="19">
        <v>16</v>
      </c>
      <c r="AF9" s="26">
        <v>16</v>
      </c>
      <c r="AG9">
        <v>16</v>
      </c>
      <c r="AH9" s="26">
        <v>16</v>
      </c>
      <c r="AI9">
        <v>16</v>
      </c>
      <c r="AJ9" s="26">
        <v>16</v>
      </c>
      <c r="AK9">
        <v>16</v>
      </c>
      <c r="AL9" s="26">
        <v>16</v>
      </c>
      <c r="AM9">
        <v>16</v>
      </c>
    </row>
    <row r="10" spans="2:39" x14ac:dyDescent="0.35">
      <c r="B10" s="4" t="s">
        <v>10</v>
      </c>
      <c r="C10" s="1"/>
      <c r="D10" s="26">
        <v>8</v>
      </c>
      <c r="E10">
        <v>8</v>
      </c>
      <c r="F10">
        <v>8</v>
      </c>
      <c r="G10">
        <v>8</v>
      </c>
      <c r="H10" s="26">
        <v>8</v>
      </c>
      <c r="I10">
        <v>8</v>
      </c>
      <c r="J10">
        <v>8</v>
      </c>
      <c r="K10" s="19">
        <v>8</v>
      </c>
      <c r="L10" s="26">
        <v>8</v>
      </c>
      <c r="M10">
        <v>8</v>
      </c>
      <c r="N10">
        <v>8</v>
      </c>
      <c r="O10" s="19">
        <v>8</v>
      </c>
      <c r="P10" s="26">
        <v>8</v>
      </c>
      <c r="Q10">
        <v>8</v>
      </c>
      <c r="R10">
        <v>8</v>
      </c>
      <c r="S10" s="19">
        <v>8</v>
      </c>
      <c r="T10" s="26">
        <v>8</v>
      </c>
      <c r="U10">
        <v>8</v>
      </c>
      <c r="V10">
        <v>8</v>
      </c>
      <c r="W10" s="19">
        <v>8</v>
      </c>
      <c r="X10" s="26">
        <v>8</v>
      </c>
      <c r="Y10">
        <v>8</v>
      </c>
      <c r="Z10">
        <v>8</v>
      </c>
      <c r="AA10" s="19">
        <v>8</v>
      </c>
      <c r="AB10" s="26">
        <v>8</v>
      </c>
      <c r="AC10">
        <v>8</v>
      </c>
      <c r="AD10">
        <v>8</v>
      </c>
      <c r="AE10" s="19">
        <v>8</v>
      </c>
      <c r="AF10" s="26">
        <v>8</v>
      </c>
      <c r="AG10">
        <v>8</v>
      </c>
      <c r="AH10" s="26">
        <v>8</v>
      </c>
      <c r="AI10">
        <v>8</v>
      </c>
      <c r="AJ10" s="26">
        <v>8</v>
      </c>
      <c r="AK10">
        <v>8</v>
      </c>
      <c r="AL10" s="26">
        <v>8</v>
      </c>
      <c r="AM10">
        <v>8</v>
      </c>
    </row>
    <row r="11" spans="2:39" x14ac:dyDescent="0.35">
      <c r="B11" s="3" t="s">
        <v>11</v>
      </c>
      <c r="C11" s="1"/>
      <c r="D11" s="28">
        <v>68</v>
      </c>
      <c r="E11" s="1">
        <v>68</v>
      </c>
      <c r="F11" s="1">
        <v>68</v>
      </c>
      <c r="G11" s="1">
        <v>68</v>
      </c>
      <c r="H11" s="28">
        <v>61</v>
      </c>
      <c r="I11" s="1">
        <v>61</v>
      </c>
      <c r="J11" s="1">
        <v>61</v>
      </c>
      <c r="K11" s="1">
        <v>61</v>
      </c>
      <c r="L11" s="28">
        <v>58</v>
      </c>
      <c r="M11" s="1">
        <v>58</v>
      </c>
      <c r="N11" s="1">
        <v>58</v>
      </c>
      <c r="O11" s="1">
        <v>58</v>
      </c>
      <c r="P11" s="28">
        <v>54</v>
      </c>
      <c r="Q11" s="1">
        <v>54</v>
      </c>
      <c r="R11" s="1">
        <v>54</v>
      </c>
      <c r="S11" s="1">
        <v>54</v>
      </c>
      <c r="T11" s="28">
        <v>51</v>
      </c>
      <c r="U11" s="1">
        <v>51</v>
      </c>
      <c r="V11" s="1">
        <v>51</v>
      </c>
      <c r="W11" s="1">
        <v>51</v>
      </c>
      <c r="X11" s="28">
        <v>47</v>
      </c>
      <c r="Y11" s="1">
        <v>47</v>
      </c>
      <c r="Z11" s="1">
        <v>47</v>
      </c>
      <c r="AA11" s="11">
        <v>47</v>
      </c>
      <c r="AB11" s="28">
        <v>64</v>
      </c>
      <c r="AC11" s="1">
        <v>64</v>
      </c>
      <c r="AD11" s="1">
        <v>64</v>
      </c>
      <c r="AE11" s="1">
        <v>64</v>
      </c>
      <c r="AF11" s="28">
        <v>136</v>
      </c>
      <c r="AG11" s="1">
        <v>136</v>
      </c>
      <c r="AH11" s="28">
        <v>68</v>
      </c>
      <c r="AI11" s="1">
        <v>68</v>
      </c>
      <c r="AJ11" s="28">
        <v>25</v>
      </c>
      <c r="AK11" s="1">
        <v>25</v>
      </c>
      <c r="AL11" s="28">
        <v>12</v>
      </c>
      <c r="AM11" s="1">
        <v>12</v>
      </c>
    </row>
    <row r="12" spans="2:39" x14ac:dyDescent="0.35">
      <c r="B12" s="3" t="s">
        <v>39</v>
      </c>
      <c r="C12" s="1"/>
      <c r="D12" s="28">
        <v>14</v>
      </c>
      <c r="E12" s="1">
        <v>14</v>
      </c>
      <c r="F12" s="1">
        <v>14</v>
      </c>
      <c r="G12" s="1">
        <v>14</v>
      </c>
      <c r="H12" s="28">
        <v>14</v>
      </c>
      <c r="I12" s="1">
        <v>14</v>
      </c>
      <c r="J12" s="1">
        <v>14</v>
      </c>
      <c r="K12" s="11">
        <v>14</v>
      </c>
      <c r="L12" s="28">
        <v>14</v>
      </c>
      <c r="M12" s="1">
        <v>14</v>
      </c>
      <c r="N12" s="1">
        <v>14</v>
      </c>
      <c r="O12" s="11">
        <v>14</v>
      </c>
      <c r="P12" s="28">
        <v>14</v>
      </c>
      <c r="Q12" s="1">
        <v>14</v>
      </c>
      <c r="R12" s="1">
        <v>14</v>
      </c>
      <c r="S12" s="11">
        <v>14</v>
      </c>
      <c r="T12" s="28">
        <v>14</v>
      </c>
      <c r="U12" s="1">
        <v>14</v>
      </c>
      <c r="V12" s="1">
        <v>14</v>
      </c>
      <c r="W12" s="11">
        <v>14</v>
      </c>
      <c r="X12" s="28">
        <v>14</v>
      </c>
      <c r="Y12" s="1">
        <v>14</v>
      </c>
      <c r="Z12" s="1">
        <v>14</v>
      </c>
      <c r="AA12" s="11">
        <v>14</v>
      </c>
      <c r="AB12" s="28">
        <v>14</v>
      </c>
      <c r="AC12" s="1">
        <v>14</v>
      </c>
      <c r="AD12" s="1">
        <v>14</v>
      </c>
      <c r="AE12" s="11">
        <v>14</v>
      </c>
      <c r="AF12" s="28">
        <v>14</v>
      </c>
      <c r="AG12" s="1">
        <v>14</v>
      </c>
      <c r="AH12" s="28">
        <v>14</v>
      </c>
      <c r="AI12" s="1">
        <v>14</v>
      </c>
      <c r="AJ12" s="28">
        <v>14</v>
      </c>
      <c r="AK12" s="1">
        <v>14</v>
      </c>
      <c r="AL12" s="28">
        <v>14</v>
      </c>
      <c r="AM12" s="1">
        <v>14</v>
      </c>
    </row>
    <row r="13" spans="2:39" x14ac:dyDescent="0.35">
      <c r="B13" s="3" t="s">
        <v>40</v>
      </c>
      <c r="C13" s="1"/>
      <c r="D13" s="28">
        <v>2</v>
      </c>
      <c r="E13" s="1">
        <v>2</v>
      </c>
      <c r="F13" s="1">
        <v>2</v>
      </c>
      <c r="G13" s="1">
        <v>2</v>
      </c>
      <c r="H13" s="28">
        <v>2</v>
      </c>
      <c r="I13" s="1">
        <v>2</v>
      </c>
      <c r="J13" s="1">
        <v>2</v>
      </c>
      <c r="K13" s="11">
        <v>2</v>
      </c>
      <c r="L13" s="28">
        <v>2</v>
      </c>
      <c r="M13" s="1">
        <v>2</v>
      </c>
      <c r="N13" s="1">
        <v>2</v>
      </c>
      <c r="O13" s="11">
        <v>2</v>
      </c>
      <c r="P13" s="28">
        <v>2</v>
      </c>
      <c r="Q13" s="1">
        <v>2</v>
      </c>
      <c r="R13" s="1">
        <v>2</v>
      </c>
      <c r="S13" s="11">
        <v>2</v>
      </c>
      <c r="T13" s="28">
        <v>2</v>
      </c>
      <c r="U13" s="1">
        <v>2</v>
      </c>
      <c r="V13" s="1">
        <v>2</v>
      </c>
      <c r="W13" s="11">
        <v>2</v>
      </c>
      <c r="X13" s="28">
        <v>2</v>
      </c>
      <c r="Y13" s="1">
        <v>2</v>
      </c>
      <c r="Z13" s="1">
        <v>2</v>
      </c>
      <c r="AA13" s="11">
        <v>2</v>
      </c>
      <c r="AB13" s="28">
        <v>2</v>
      </c>
      <c r="AC13" s="1">
        <v>2</v>
      </c>
      <c r="AD13" s="1">
        <v>2</v>
      </c>
      <c r="AE13" s="11">
        <v>2</v>
      </c>
      <c r="AF13" s="28">
        <v>2</v>
      </c>
      <c r="AG13" s="1">
        <v>2</v>
      </c>
      <c r="AH13" s="28">
        <v>2</v>
      </c>
      <c r="AI13" s="1">
        <v>2</v>
      </c>
      <c r="AJ13" s="28">
        <v>2</v>
      </c>
      <c r="AK13" s="1">
        <v>2</v>
      </c>
      <c r="AL13" s="28">
        <v>2</v>
      </c>
      <c r="AM13" s="1">
        <v>2</v>
      </c>
    </row>
    <row r="14" spans="2:39" x14ac:dyDescent="0.35">
      <c r="B14" s="5" t="s">
        <v>14</v>
      </c>
      <c r="C14" s="1"/>
      <c r="D14" s="28">
        <v>2</v>
      </c>
      <c r="E14" s="1">
        <v>2</v>
      </c>
      <c r="F14" s="1">
        <v>2</v>
      </c>
      <c r="G14" s="1">
        <v>2</v>
      </c>
      <c r="H14" s="28">
        <v>2</v>
      </c>
      <c r="I14" s="1">
        <v>2</v>
      </c>
      <c r="J14" s="1">
        <v>2</v>
      </c>
      <c r="K14" s="11">
        <v>2</v>
      </c>
      <c r="L14" s="28">
        <v>2</v>
      </c>
      <c r="M14" s="1">
        <v>2</v>
      </c>
      <c r="N14" s="1">
        <v>2</v>
      </c>
      <c r="O14" s="11">
        <v>2</v>
      </c>
      <c r="P14" s="28">
        <v>2</v>
      </c>
      <c r="Q14" s="1">
        <v>2</v>
      </c>
      <c r="R14" s="1">
        <v>2</v>
      </c>
      <c r="S14" s="11">
        <v>2</v>
      </c>
      <c r="T14" s="28">
        <v>2</v>
      </c>
      <c r="U14" s="1">
        <v>2</v>
      </c>
      <c r="V14" s="1">
        <v>2</v>
      </c>
      <c r="W14" s="11">
        <v>2</v>
      </c>
      <c r="X14" s="28">
        <v>2</v>
      </c>
      <c r="Y14" s="1">
        <v>2</v>
      </c>
      <c r="Z14" s="1">
        <v>2</v>
      </c>
      <c r="AA14" s="11">
        <v>2</v>
      </c>
      <c r="AB14" s="28">
        <v>2</v>
      </c>
      <c r="AC14" s="1">
        <v>2</v>
      </c>
      <c r="AD14" s="1">
        <v>2</v>
      </c>
      <c r="AE14" s="11">
        <v>2</v>
      </c>
      <c r="AF14" s="28">
        <v>2</v>
      </c>
      <c r="AG14" s="1">
        <v>2</v>
      </c>
      <c r="AH14" s="28">
        <v>2</v>
      </c>
      <c r="AI14" s="1">
        <v>2</v>
      </c>
      <c r="AJ14" s="28">
        <v>2</v>
      </c>
      <c r="AK14" s="1">
        <v>2</v>
      </c>
      <c r="AL14" s="28">
        <v>2</v>
      </c>
      <c r="AM14" s="1">
        <v>2</v>
      </c>
    </row>
    <row r="15" spans="2:39" x14ac:dyDescent="0.35">
      <c r="B15" s="5" t="s">
        <v>15</v>
      </c>
      <c r="C15" s="1"/>
      <c r="D15" s="28">
        <v>0</v>
      </c>
      <c r="E15" s="1">
        <v>0</v>
      </c>
      <c r="F15" s="1">
        <v>0</v>
      </c>
      <c r="G15" s="1">
        <v>0</v>
      </c>
      <c r="H15" s="28">
        <v>0</v>
      </c>
      <c r="I15" s="1">
        <v>0</v>
      </c>
      <c r="J15" s="1">
        <v>0</v>
      </c>
      <c r="K15" s="11">
        <v>0</v>
      </c>
      <c r="L15" s="28">
        <v>0</v>
      </c>
      <c r="M15" s="1">
        <v>0</v>
      </c>
      <c r="N15" s="1">
        <v>0</v>
      </c>
      <c r="O15" s="11">
        <v>0</v>
      </c>
      <c r="P15" s="28">
        <v>0</v>
      </c>
      <c r="Q15" s="1">
        <v>0</v>
      </c>
      <c r="R15" s="1">
        <v>0</v>
      </c>
      <c r="S15" s="11">
        <v>0</v>
      </c>
      <c r="T15" s="28">
        <v>0</v>
      </c>
      <c r="U15" s="1">
        <v>0</v>
      </c>
      <c r="V15" s="1">
        <v>0</v>
      </c>
      <c r="W15" s="11">
        <v>0</v>
      </c>
      <c r="X15" s="28">
        <v>0</v>
      </c>
      <c r="Y15" s="1">
        <v>0</v>
      </c>
      <c r="Z15" s="1">
        <v>0</v>
      </c>
      <c r="AA15" s="11">
        <v>0</v>
      </c>
      <c r="AB15" s="28">
        <v>0</v>
      </c>
      <c r="AC15" s="1">
        <v>0</v>
      </c>
      <c r="AD15" s="1">
        <v>0</v>
      </c>
      <c r="AE15" s="11">
        <v>0</v>
      </c>
      <c r="AF15" s="28">
        <v>0</v>
      </c>
      <c r="AG15" s="1">
        <v>0</v>
      </c>
      <c r="AH15" s="28">
        <v>0</v>
      </c>
      <c r="AI15" s="1">
        <v>0</v>
      </c>
      <c r="AJ15" s="28">
        <v>0</v>
      </c>
      <c r="AK15" s="1">
        <v>0</v>
      </c>
      <c r="AL15" s="28">
        <v>0</v>
      </c>
      <c r="AM15" s="1">
        <v>0</v>
      </c>
    </row>
    <row r="16" spans="2:39" x14ac:dyDescent="0.35">
      <c r="B16" s="3" t="s">
        <v>16</v>
      </c>
      <c r="C16" s="1"/>
      <c r="D16" s="28">
        <v>2</v>
      </c>
      <c r="E16" s="1">
        <v>2</v>
      </c>
      <c r="F16" s="1">
        <v>2</v>
      </c>
      <c r="G16" s="1">
        <v>2</v>
      </c>
      <c r="H16" s="28">
        <v>2</v>
      </c>
      <c r="I16" s="1">
        <v>2</v>
      </c>
      <c r="J16" s="1">
        <v>2</v>
      </c>
      <c r="K16" s="11">
        <v>2</v>
      </c>
      <c r="L16" s="28">
        <v>2</v>
      </c>
      <c r="M16" s="1">
        <v>2</v>
      </c>
      <c r="N16" s="1">
        <v>2</v>
      </c>
      <c r="O16" s="11">
        <v>2</v>
      </c>
      <c r="P16" s="28">
        <v>2</v>
      </c>
      <c r="Q16" s="1">
        <v>2</v>
      </c>
      <c r="R16" s="1">
        <v>2</v>
      </c>
      <c r="S16" s="11">
        <v>2</v>
      </c>
      <c r="T16" s="28">
        <v>2</v>
      </c>
      <c r="U16" s="1">
        <v>2</v>
      </c>
      <c r="V16" s="1">
        <v>2</v>
      </c>
      <c r="W16" s="11">
        <v>2</v>
      </c>
      <c r="X16" s="28">
        <v>2</v>
      </c>
      <c r="Y16" s="1">
        <v>2</v>
      </c>
      <c r="Z16" s="1">
        <v>2</v>
      </c>
      <c r="AA16" s="11">
        <v>2</v>
      </c>
      <c r="AB16" s="28">
        <v>2</v>
      </c>
      <c r="AC16" s="1">
        <v>2</v>
      </c>
      <c r="AD16" s="1">
        <v>2</v>
      </c>
      <c r="AE16" s="11">
        <v>2</v>
      </c>
      <c r="AF16" s="28">
        <v>2</v>
      </c>
      <c r="AG16" s="1">
        <v>2</v>
      </c>
      <c r="AH16" s="28">
        <v>2</v>
      </c>
      <c r="AI16" s="1">
        <v>2</v>
      </c>
      <c r="AJ16" s="28">
        <v>2</v>
      </c>
      <c r="AK16" s="1">
        <v>2</v>
      </c>
      <c r="AL16" s="28">
        <v>2</v>
      </c>
      <c r="AM16" s="1">
        <v>2</v>
      </c>
    </row>
    <row r="17" spans="2:39" x14ac:dyDescent="0.35">
      <c r="B17" s="3" t="s">
        <v>17</v>
      </c>
      <c r="C17" s="1"/>
      <c r="D17" s="28">
        <v>27</v>
      </c>
      <c r="E17" s="1">
        <v>27</v>
      </c>
      <c r="F17" s="1">
        <v>27</v>
      </c>
      <c r="G17" s="1">
        <v>27</v>
      </c>
      <c r="H17" s="28">
        <v>27</v>
      </c>
      <c r="I17" s="1">
        <v>27</v>
      </c>
      <c r="J17" s="1">
        <v>27</v>
      </c>
      <c r="K17" s="11">
        <v>27</v>
      </c>
      <c r="L17" s="28">
        <v>27</v>
      </c>
      <c r="M17" s="1">
        <v>27</v>
      </c>
      <c r="N17" s="1">
        <v>27</v>
      </c>
      <c r="O17" s="11">
        <v>27</v>
      </c>
      <c r="P17" s="28">
        <v>27</v>
      </c>
      <c r="Q17" s="1">
        <v>27</v>
      </c>
      <c r="R17" s="1">
        <v>27</v>
      </c>
      <c r="S17" s="11">
        <v>27</v>
      </c>
      <c r="T17" s="28">
        <v>27</v>
      </c>
      <c r="U17" s="1">
        <v>27</v>
      </c>
      <c r="V17" s="1">
        <v>27</v>
      </c>
      <c r="W17" s="11">
        <v>27</v>
      </c>
      <c r="X17" s="28">
        <v>27</v>
      </c>
      <c r="Y17" s="1">
        <v>27</v>
      </c>
      <c r="Z17" s="1">
        <v>27</v>
      </c>
      <c r="AA17" s="11">
        <v>27</v>
      </c>
      <c r="AB17" s="28">
        <v>27</v>
      </c>
      <c r="AC17" s="1">
        <v>27</v>
      </c>
      <c r="AD17" s="1">
        <v>27</v>
      </c>
      <c r="AE17" s="11">
        <v>27</v>
      </c>
      <c r="AF17" s="28">
        <v>27</v>
      </c>
      <c r="AG17" s="1">
        <v>27</v>
      </c>
      <c r="AH17" s="28">
        <v>27</v>
      </c>
      <c r="AI17" s="1">
        <v>27</v>
      </c>
      <c r="AJ17" s="28">
        <v>27</v>
      </c>
      <c r="AK17" s="1">
        <v>27</v>
      </c>
      <c r="AL17" s="28">
        <v>27</v>
      </c>
      <c r="AM17" s="1">
        <v>27</v>
      </c>
    </row>
    <row r="18" spans="2:39" x14ac:dyDescent="0.35">
      <c r="B18" s="3" t="s">
        <v>18</v>
      </c>
      <c r="C18" s="1"/>
      <c r="D18" s="28">
        <v>2</v>
      </c>
      <c r="E18" s="1">
        <v>2</v>
      </c>
      <c r="F18" s="1">
        <v>2</v>
      </c>
      <c r="G18" s="1">
        <v>2</v>
      </c>
      <c r="H18" s="28">
        <v>2</v>
      </c>
      <c r="I18" s="1">
        <v>2</v>
      </c>
      <c r="J18" s="1">
        <v>2</v>
      </c>
      <c r="K18" s="11">
        <v>2</v>
      </c>
      <c r="L18" s="28">
        <v>2</v>
      </c>
      <c r="M18" s="1">
        <v>2</v>
      </c>
      <c r="N18" s="1">
        <v>2</v>
      </c>
      <c r="O18" s="11">
        <v>2</v>
      </c>
      <c r="P18" s="28">
        <v>2</v>
      </c>
      <c r="Q18" s="1">
        <v>2</v>
      </c>
      <c r="R18" s="1">
        <v>2</v>
      </c>
      <c r="S18" s="11">
        <v>2</v>
      </c>
      <c r="T18" s="28">
        <v>2</v>
      </c>
      <c r="U18" s="1">
        <v>2</v>
      </c>
      <c r="V18" s="1">
        <v>2</v>
      </c>
      <c r="W18" s="11">
        <v>2</v>
      </c>
      <c r="X18" s="28">
        <v>2</v>
      </c>
      <c r="Y18" s="1">
        <v>2</v>
      </c>
      <c r="Z18" s="1">
        <v>2</v>
      </c>
      <c r="AA18" s="11">
        <v>2</v>
      </c>
      <c r="AB18" s="28">
        <v>2</v>
      </c>
      <c r="AC18" s="1">
        <v>2</v>
      </c>
      <c r="AD18" s="1">
        <v>2</v>
      </c>
      <c r="AE18" s="11">
        <v>2</v>
      </c>
      <c r="AF18" s="28">
        <v>4</v>
      </c>
      <c r="AG18" s="1">
        <v>4</v>
      </c>
      <c r="AH18" s="28">
        <v>4</v>
      </c>
      <c r="AI18" s="1">
        <v>4</v>
      </c>
      <c r="AJ18" s="28">
        <v>4</v>
      </c>
      <c r="AK18" s="1">
        <v>4</v>
      </c>
      <c r="AL18" s="28">
        <v>4</v>
      </c>
      <c r="AM18" s="1">
        <v>4</v>
      </c>
    </row>
    <row r="19" spans="2:39" x14ac:dyDescent="0.35">
      <c r="B19" s="3" t="s">
        <v>19</v>
      </c>
      <c r="C19" s="1"/>
      <c r="D19" s="28">
        <v>4</v>
      </c>
      <c r="E19" s="1">
        <v>4</v>
      </c>
      <c r="F19" s="1">
        <v>4</v>
      </c>
      <c r="G19" s="1">
        <v>4</v>
      </c>
      <c r="H19" s="28">
        <v>4</v>
      </c>
      <c r="I19" s="1">
        <v>4</v>
      </c>
      <c r="J19" s="1">
        <v>4</v>
      </c>
      <c r="K19" s="11">
        <v>4</v>
      </c>
      <c r="L19" s="28">
        <v>4</v>
      </c>
      <c r="M19" s="1">
        <v>4</v>
      </c>
      <c r="N19" s="1">
        <v>4</v>
      </c>
      <c r="O19" s="11">
        <v>4</v>
      </c>
      <c r="P19" s="28">
        <v>4</v>
      </c>
      <c r="Q19" s="1">
        <v>4</v>
      </c>
      <c r="R19" s="1">
        <v>4</v>
      </c>
      <c r="S19" s="11">
        <v>4</v>
      </c>
      <c r="T19" s="28">
        <v>4</v>
      </c>
      <c r="U19" s="1">
        <v>4</v>
      </c>
      <c r="V19" s="1">
        <v>4</v>
      </c>
      <c r="W19" s="11">
        <v>4</v>
      </c>
      <c r="X19" s="28">
        <v>4</v>
      </c>
      <c r="Y19" s="1">
        <v>4</v>
      </c>
      <c r="Z19" s="1">
        <v>4</v>
      </c>
      <c r="AA19" s="11">
        <v>4</v>
      </c>
      <c r="AB19" s="28">
        <v>4</v>
      </c>
      <c r="AC19" s="1">
        <v>4</v>
      </c>
      <c r="AD19" s="1">
        <v>4</v>
      </c>
      <c r="AE19" s="11">
        <v>4</v>
      </c>
      <c r="AF19" s="28">
        <v>2</v>
      </c>
      <c r="AG19" s="1">
        <v>2</v>
      </c>
      <c r="AH19" s="28">
        <v>2</v>
      </c>
      <c r="AI19" s="1">
        <v>2</v>
      </c>
      <c r="AJ19" s="28">
        <v>2</v>
      </c>
      <c r="AK19" s="1">
        <v>2</v>
      </c>
      <c r="AL19" s="28">
        <v>2</v>
      </c>
      <c r="AM19" s="1">
        <v>2</v>
      </c>
    </row>
    <row r="20" spans="2:39" x14ac:dyDescent="0.35">
      <c r="B20" s="3" t="s">
        <v>20</v>
      </c>
      <c r="C20" s="1"/>
      <c r="D20" s="28" t="s">
        <v>44</v>
      </c>
      <c r="E20" s="1" t="s">
        <v>44</v>
      </c>
      <c r="F20" s="1" t="s">
        <v>44</v>
      </c>
      <c r="G20" s="1" t="s">
        <v>44</v>
      </c>
      <c r="H20" s="28" t="s">
        <v>44</v>
      </c>
      <c r="I20" s="1" t="s">
        <v>44</v>
      </c>
      <c r="J20" s="1" t="s">
        <v>44</v>
      </c>
      <c r="K20" s="11" t="s">
        <v>44</v>
      </c>
      <c r="L20" s="28" t="s">
        <v>44</v>
      </c>
      <c r="M20" s="1" t="s">
        <v>44</v>
      </c>
      <c r="N20" s="1" t="s">
        <v>44</v>
      </c>
      <c r="O20" s="11" t="s">
        <v>44</v>
      </c>
      <c r="P20" s="28" t="s">
        <v>44</v>
      </c>
      <c r="Q20" s="1" t="s">
        <v>44</v>
      </c>
      <c r="R20" s="1" t="s">
        <v>44</v>
      </c>
      <c r="S20" s="11" t="s">
        <v>44</v>
      </c>
      <c r="T20" s="28" t="s">
        <v>44</v>
      </c>
      <c r="U20" s="1" t="s">
        <v>44</v>
      </c>
      <c r="V20" s="1" t="s">
        <v>44</v>
      </c>
      <c r="W20" s="11" t="s">
        <v>44</v>
      </c>
      <c r="X20" s="28" t="s">
        <v>44</v>
      </c>
      <c r="Y20" s="1" t="s">
        <v>44</v>
      </c>
      <c r="Z20" s="1" t="s">
        <v>44</v>
      </c>
      <c r="AA20" s="11" t="s">
        <v>44</v>
      </c>
      <c r="AB20" s="28" t="s">
        <v>44</v>
      </c>
      <c r="AC20" s="1" t="s">
        <v>44</v>
      </c>
      <c r="AD20" s="1" t="s">
        <v>44</v>
      </c>
      <c r="AE20" s="11" t="s">
        <v>44</v>
      </c>
      <c r="AF20" s="28" t="s">
        <v>44</v>
      </c>
      <c r="AG20" s="1" t="s">
        <v>44</v>
      </c>
      <c r="AH20" s="28" t="s">
        <v>44</v>
      </c>
      <c r="AI20" s="1" t="s">
        <v>44</v>
      </c>
      <c r="AJ20" s="28" t="s">
        <v>44</v>
      </c>
      <c r="AK20" s="1" t="s">
        <v>44</v>
      </c>
      <c r="AL20" s="28" t="s">
        <v>44</v>
      </c>
      <c r="AM20" s="1" t="s">
        <v>44</v>
      </c>
    </row>
    <row r="21" spans="2:39" x14ac:dyDescent="0.35">
      <c r="B21" s="6" t="s">
        <v>22</v>
      </c>
      <c r="C21" s="1"/>
      <c r="D21" s="29"/>
      <c r="E21" s="17"/>
      <c r="F21" s="17"/>
      <c r="G21" s="17"/>
      <c r="H21" s="29"/>
      <c r="I21" s="17"/>
      <c r="J21" s="17"/>
      <c r="K21" s="16"/>
      <c r="L21" s="29"/>
      <c r="M21" s="17"/>
      <c r="N21" s="17"/>
      <c r="O21" s="16"/>
      <c r="P21" s="29"/>
      <c r="Q21" s="17"/>
      <c r="R21" s="17"/>
      <c r="S21" s="16"/>
      <c r="T21" s="29"/>
      <c r="U21" s="17"/>
      <c r="V21" s="17"/>
      <c r="W21" s="16"/>
      <c r="X21" s="29"/>
      <c r="Y21" s="17"/>
      <c r="Z21" s="17"/>
      <c r="AA21" s="16"/>
      <c r="AB21" s="29"/>
      <c r="AC21" s="17"/>
      <c r="AD21" s="17"/>
      <c r="AE21" s="16"/>
      <c r="AF21" s="29"/>
      <c r="AG21" s="17"/>
      <c r="AH21" s="29"/>
      <c r="AI21" s="17"/>
      <c r="AJ21" s="29"/>
      <c r="AK21" s="17"/>
      <c r="AL21" s="29"/>
      <c r="AM21" s="17"/>
    </row>
    <row r="22" spans="2:39" x14ac:dyDescent="0.35">
      <c r="B22" s="7" t="s">
        <v>23</v>
      </c>
      <c r="C22" s="1"/>
      <c r="D22" s="28" t="s">
        <v>24</v>
      </c>
      <c r="E22" s="1" t="s">
        <v>24</v>
      </c>
      <c r="F22" s="1" t="s">
        <v>24</v>
      </c>
      <c r="G22" s="1" t="s">
        <v>24</v>
      </c>
      <c r="H22" s="28" t="s">
        <v>24</v>
      </c>
      <c r="I22" s="1" t="s">
        <v>24</v>
      </c>
      <c r="J22" s="1" t="s">
        <v>24</v>
      </c>
      <c r="K22" s="11" t="s">
        <v>24</v>
      </c>
      <c r="L22" s="28" t="s">
        <v>24</v>
      </c>
      <c r="M22" s="1" t="s">
        <v>24</v>
      </c>
      <c r="N22" s="1" t="s">
        <v>24</v>
      </c>
      <c r="O22" s="11" t="s">
        <v>24</v>
      </c>
      <c r="P22" s="28" t="s">
        <v>24</v>
      </c>
      <c r="Q22" s="1" t="s">
        <v>24</v>
      </c>
      <c r="R22" s="1" t="s">
        <v>24</v>
      </c>
      <c r="S22" s="11" t="s">
        <v>24</v>
      </c>
      <c r="T22" s="28" t="s">
        <v>24</v>
      </c>
      <c r="U22" s="1" t="s">
        <v>24</v>
      </c>
      <c r="V22" s="1" t="s">
        <v>24</v>
      </c>
      <c r="W22" s="11" t="s">
        <v>24</v>
      </c>
      <c r="X22" s="28" t="s">
        <v>24</v>
      </c>
      <c r="Y22" s="1" t="s">
        <v>24</v>
      </c>
      <c r="Z22" s="1" t="s">
        <v>24</v>
      </c>
      <c r="AA22" s="11" t="s">
        <v>24</v>
      </c>
      <c r="AB22" s="28" t="s">
        <v>24</v>
      </c>
      <c r="AC22" s="1" t="s">
        <v>24</v>
      </c>
      <c r="AD22" s="1" t="s">
        <v>24</v>
      </c>
      <c r="AE22" s="11" t="s">
        <v>24</v>
      </c>
      <c r="AF22" s="28" t="s">
        <v>24</v>
      </c>
      <c r="AG22" s="1" t="s">
        <v>24</v>
      </c>
      <c r="AH22" s="28" t="s">
        <v>24</v>
      </c>
      <c r="AI22" s="1" t="s">
        <v>24</v>
      </c>
      <c r="AJ22" s="28" t="s">
        <v>24</v>
      </c>
      <c r="AK22" s="1" t="s">
        <v>24</v>
      </c>
      <c r="AL22" s="28" t="s">
        <v>24</v>
      </c>
      <c r="AM22" s="1" t="s">
        <v>24</v>
      </c>
    </row>
    <row r="23" spans="2:39" x14ac:dyDescent="0.35">
      <c r="B23" s="7" t="s">
        <v>25</v>
      </c>
      <c r="C23" s="1"/>
      <c r="D23" s="28">
        <v>0</v>
      </c>
      <c r="E23" s="1">
        <v>0</v>
      </c>
      <c r="F23" s="1">
        <v>0</v>
      </c>
      <c r="G23" s="1">
        <v>0</v>
      </c>
      <c r="H23" s="28">
        <v>0</v>
      </c>
      <c r="I23" s="1">
        <v>0</v>
      </c>
      <c r="J23" s="1">
        <v>0</v>
      </c>
      <c r="K23" s="1">
        <v>0</v>
      </c>
      <c r="L23" s="28">
        <v>0</v>
      </c>
      <c r="M23" s="1">
        <v>0</v>
      </c>
      <c r="N23" s="1">
        <v>0</v>
      </c>
      <c r="O23" s="1">
        <v>0</v>
      </c>
      <c r="P23" s="28">
        <v>0</v>
      </c>
      <c r="Q23" s="1">
        <v>0</v>
      </c>
      <c r="R23" s="1">
        <v>0</v>
      </c>
      <c r="S23" s="1">
        <v>0</v>
      </c>
      <c r="T23" s="28">
        <v>0</v>
      </c>
      <c r="U23" s="1">
        <v>0</v>
      </c>
      <c r="V23" s="1">
        <v>0</v>
      </c>
      <c r="W23" s="1">
        <v>0</v>
      </c>
      <c r="X23" s="28">
        <v>0</v>
      </c>
      <c r="Y23" s="1">
        <v>0</v>
      </c>
      <c r="Z23" s="1">
        <v>0</v>
      </c>
      <c r="AA23" s="1">
        <v>0</v>
      </c>
      <c r="AB23" s="28">
        <v>0</v>
      </c>
      <c r="AC23" s="1">
        <v>0</v>
      </c>
      <c r="AD23" s="1">
        <v>0</v>
      </c>
      <c r="AE23" s="11">
        <v>0</v>
      </c>
      <c r="AF23" s="28">
        <v>0</v>
      </c>
      <c r="AG23" s="1">
        <v>0</v>
      </c>
      <c r="AH23" s="28">
        <v>0</v>
      </c>
      <c r="AI23" s="1">
        <v>0</v>
      </c>
      <c r="AJ23" s="28">
        <v>0</v>
      </c>
      <c r="AK23" s="1">
        <v>0</v>
      </c>
      <c r="AL23" s="28">
        <v>0</v>
      </c>
      <c r="AM23" s="1">
        <v>0</v>
      </c>
    </row>
    <row r="24" spans="2:39" x14ac:dyDescent="0.35">
      <c r="B24" s="7" t="s">
        <v>26</v>
      </c>
      <c r="C24" s="1"/>
      <c r="D24" s="28" t="s">
        <v>27</v>
      </c>
      <c r="E24" s="1" t="s">
        <v>27</v>
      </c>
      <c r="F24" s="1" t="s">
        <v>27</v>
      </c>
      <c r="G24" s="1" t="s">
        <v>27</v>
      </c>
      <c r="H24" s="28" t="s">
        <v>27</v>
      </c>
      <c r="I24" s="1" t="s">
        <v>27</v>
      </c>
      <c r="J24" s="1" t="s">
        <v>27</v>
      </c>
      <c r="K24" s="11" t="s">
        <v>27</v>
      </c>
      <c r="L24" s="28" t="s">
        <v>27</v>
      </c>
      <c r="M24" s="1" t="s">
        <v>27</v>
      </c>
      <c r="N24" s="1" t="s">
        <v>27</v>
      </c>
      <c r="O24" s="11" t="s">
        <v>27</v>
      </c>
      <c r="P24" s="28" t="s">
        <v>27</v>
      </c>
      <c r="Q24" s="1" t="s">
        <v>27</v>
      </c>
      <c r="R24" s="1" t="s">
        <v>27</v>
      </c>
      <c r="S24" s="11" t="s">
        <v>27</v>
      </c>
      <c r="T24" s="28" t="s">
        <v>27</v>
      </c>
      <c r="U24" s="1" t="s">
        <v>27</v>
      </c>
      <c r="V24" s="1" t="s">
        <v>27</v>
      </c>
      <c r="W24" s="11" t="s">
        <v>27</v>
      </c>
      <c r="X24" s="28" t="s">
        <v>27</v>
      </c>
      <c r="Y24" s="1" t="s">
        <v>27</v>
      </c>
      <c r="Z24" s="1" t="s">
        <v>27</v>
      </c>
      <c r="AA24" s="11" t="s">
        <v>27</v>
      </c>
      <c r="AB24" s="28" t="s">
        <v>27</v>
      </c>
      <c r="AC24" s="1" t="s">
        <v>27</v>
      </c>
      <c r="AD24" s="1" t="s">
        <v>27</v>
      </c>
      <c r="AE24" s="11" t="s">
        <v>27</v>
      </c>
      <c r="AF24" s="28" t="s">
        <v>27</v>
      </c>
      <c r="AG24" s="1" t="s">
        <v>27</v>
      </c>
      <c r="AH24" s="28" t="s">
        <v>27</v>
      </c>
      <c r="AI24" s="1" t="s">
        <v>27</v>
      </c>
      <c r="AJ24" s="28" t="s">
        <v>27</v>
      </c>
      <c r="AK24" s="1" t="s">
        <v>27</v>
      </c>
      <c r="AL24" s="28" t="s">
        <v>27</v>
      </c>
      <c r="AM24" s="1" t="s">
        <v>27</v>
      </c>
    </row>
    <row r="25" spans="2:39" x14ac:dyDescent="0.35">
      <c r="B25" s="6" t="s">
        <v>28</v>
      </c>
      <c r="C25" s="1"/>
      <c r="D25" s="29"/>
      <c r="E25" s="17"/>
      <c r="F25" s="17"/>
      <c r="G25" s="17"/>
      <c r="H25" s="29"/>
      <c r="I25" s="17"/>
      <c r="J25" s="17"/>
      <c r="K25" s="16"/>
      <c r="L25" s="29"/>
      <c r="M25" s="17"/>
      <c r="N25" s="17"/>
      <c r="O25" s="16"/>
      <c r="P25" s="29"/>
      <c r="Q25" s="17"/>
      <c r="R25" s="17"/>
      <c r="S25" s="16"/>
      <c r="T25" s="29"/>
      <c r="U25" s="17"/>
      <c r="V25" s="17"/>
      <c r="W25" s="16"/>
      <c r="X25" s="29"/>
      <c r="Y25" s="17"/>
      <c r="Z25" s="17"/>
      <c r="AA25" s="16"/>
      <c r="AB25" s="29"/>
      <c r="AC25" s="17"/>
      <c r="AD25" s="17"/>
      <c r="AE25" s="16"/>
      <c r="AF25" s="29"/>
      <c r="AG25" s="17"/>
      <c r="AH25" s="29"/>
      <c r="AI25" s="17"/>
      <c r="AJ25" s="29"/>
      <c r="AK25" s="17"/>
      <c r="AL25" s="29"/>
      <c r="AM25" s="17"/>
    </row>
    <row r="26" spans="2:39" x14ac:dyDescent="0.35">
      <c r="B26" s="8" t="s">
        <v>29</v>
      </c>
      <c r="C26" s="1"/>
      <c r="D26" s="28" cm="1">
        <f t="array" ref="D26">Comm_MCS_ModOrd(D16,D17)</f>
        <v>8</v>
      </c>
      <c r="E26" s="1" cm="1">
        <f t="array" ref="E26">Comm_MCS_ModOrd(E16,E17)</f>
        <v>8</v>
      </c>
      <c r="F26" s="1" cm="1">
        <f t="array" ref="F26">Comm_MCS_ModOrd(F16,F17)</f>
        <v>8</v>
      </c>
      <c r="G26" s="1" cm="1">
        <f t="array" ref="G26">Comm_MCS_ModOrd(G16,G17)</f>
        <v>8</v>
      </c>
      <c r="H26" s="28" cm="1">
        <f t="array" ref="H26">Comm_MCS_ModOrd(H16,H17)</f>
        <v>8</v>
      </c>
      <c r="I26" s="1" cm="1">
        <f t="array" ref="I26">Comm_MCS_ModOrd(I16,I17)</f>
        <v>8</v>
      </c>
      <c r="J26" s="1" cm="1">
        <f t="array" ref="J26">Comm_MCS_ModOrd(J16,J17)</f>
        <v>8</v>
      </c>
      <c r="K26" s="11" cm="1">
        <f t="array" ref="K26">Comm_MCS_ModOrd(K16,K17)</f>
        <v>8</v>
      </c>
      <c r="L26" s="28" cm="1">
        <f t="array" ref="L26">Comm_MCS_ModOrd(L16,L17)</f>
        <v>8</v>
      </c>
      <c r="M26" s="1" cm="1">
        <f t="array" ref="M26">Comm_MCS_ModOrd(M16,M17)</f>
        <v>8</v>
      </c>
      <c r="N26" s="1" cm="1">
        <f t="array" ref="N26">Comm_MCS_ModOrd(N16,N17)</f>
        <v>8</v>
      </c>
      <c r="O26" s="11" cm="1">
        <f t="array" ref="O26">Comm_MCS_ModOrd(O16,O17)</f>
        <v>8</v>
      </c>
      <c r="P26" s="28" cm="1">
        <f t="array" ref="P26">Comm_MCS_ModOrd(P16,P17)</f>
        <v>8</v>
      </c>
      <c r="Q26" s="1" cm="1">
        <f t="array" ref="Q26">Comm_MCS_ModOrd(Q16,Q17)</f>
        <v>8</v>
      </c>
      <c r="R26" s="1" cm="1">
        <f t="array" ref="R26">Comm_MCS_ModOrd(R16,R17)</f>
        <v>8</v>
      </c>
      <c r="S26" s="11" cm="1">
        <f t="array" ref="S26">Comm_MCS_ModOrd(S16,S17)</f>
        <v>8</v>
      </c>
      <c r="T26" s="28" cm="1">
        <f t="array" ref="T26">Comm_MCS_ModOrd(T16,T17)</f>
        <v>8</v>
      </c>
      <c r="U26" s="1" cm="1">
        <f t="array" ref="U26">Comm_MCS_ModOrd(U16,U17)</f>
        <v>8</v>
      </c>
      <c r="V26" s="1" cm="1">
        <f t="array" ref="V26">Comm_MCS_ModOrd(V16,V17)</f>
        <v>8</v>
      </c>
      <c r="W26" s="11" cm="1">
        <f t="array" ref="W26">Comm_MCS_ModOrd(W16,W17)</f>
        <v>8</v>
      </c>
      <c r="X26" s="28" cm="1">
        <f t="array" ref="X26">Comm_MCS_ModOrd(X16,X17)</f>
        <v>8</v>
      </c>
      <c r="Y26" s="1" cm="1">
        <f t="array" ref="Y26">Comm_MCS_ModOrd(Y16,Y17)</f>
        <v>8</v>
      </c>
      <c r="Z26" s="1" cm="1">
        <f t="array" ref="Z26">Comm_MCS_ModOrd(Z16,Z17)</f>
        <v>8</v>
      </c>
      <c r="AA26" s="11" cm="1">
        <f t="array" ref="AA26">Comm_MCS_ModOrd(AA16,AA17)</f>
        <v>8</v>
      </c>
      <c r="AB26" s="28" cm="1">
        <f t="array" ref="AB26">Comm_MCS_ModOrd(AB16,AB17)</f>
        <v>8</v>
      </c>
      <c r="AC26" s="1" cm="1">
        <f t="array" ref="AC26">Comm_MCS_ModOrd(AC16,AC17)</f>
        <v>8</v>
      </c>
      <c r="AD26" s="1" cm="1">
        <f t="array" ref="AD26">Comm_MCS_ModOrd(AD16,AD17)</f>
        <v>8</v>
      </c>
      <c r="AE26" s="11" cm="1">
        <f t="array" ref="AE26">Comm_MCS_ModOrd(AE16,AE17)</f>
        <v>8</v>
      </c>
      <c r="AF26" s="28" cm="1">
        <f t="array" ref="AF26">Comm_MCS_ModOrd(AF16,AF17)</f>
        <v>8</v>
      </c>
      <c r="AG26" s="1" cm="1">
        <f t="array" ref="AG26">Comm_MCS_ModOrd(AG16,AG17)</f>
        <v>8</v>
      </c>
      <c r="AH26" s="28" cm="1">
        <f t="array" ref="AH26">Comm_MCS_ModOrd(AH16,AH17)</f>
        <v>8</v>
      </c>
      <c r="AI26" s="1" cm="1">
        <f t="array" ref="AI26">Comm_MCS_ModOrd(AI16,AI17)</f>
        <v>8</v>
      </c>
      <c r="AJ26" s="28" cm="1">
        <f t="array" ref="AJ26">Comm_MCS_ModOrd(AJ16,AJ17)</f>
        <v>8</v>
      </c>
      <c r="AK26" s="1" cm="1">
        <f t="array" ref="AK26">Comm_MCS_ModOrd(AK16,AK17)</f>
        <v>8</v>
      </c>
      <c r="AL26" s="28" cm="1">
        <f t="array" ref="AL26">Comm_MCS_ModOrd(AL16,AL17)</f>
        <v>8</v>
      </c>
      <c r="AM26" s="1" cm="1">
        <f t="array" ref="AM26">Comm_MCS_ModOrd(AM16,AM17)</f>
        <v>8</v>
      </c>
    </row>
    <row r="27" spans="2:39" x14ac:dyDescent="0.35">
      <c r="B27" s="8" t="s">
        <v>30</v>
      </c>
      <c r="C27" s="1"/>
      <c r="D27" s="28" cm="1">
        <f t="array" ref="D27">Comm_MCS_CodeRate(D16,D17)</f>
        <v>948</v>
      </c>
      <c r="E27" s="1" cm="1">
        <f t="array" ref="E27">Comm_MCS_CodeRate(E16,E17)</f>
        <v>948</v>
      </c>
      <c r="F27" s="1" cm="1">
        <f t="array" ref="F27">Comm_MCS_CodeRate(F16,F17)</f>
        <v>948</v>
      </c>
      <c r="G27" s="1" cm="1">
        <f t="array" ref="G27">Comm_MCS_CodeRate(G16,G17)</f>
        <v>948</v>
      </c>
      <c r="H27" s="28" cm="1">
        <f t="array" ref="H27">Comm_MCS_CodeRate(H16,H17)</f>
        <v>948</v>
      </c>
      <c r="I27" s="1" cm="1">
        <f t="array" ref="I27">Comm_MCS_CodeRate(I16,I17)</f>
        <v>948</v>
      </c>
      <c r="J27" s="1" cm="1">
        <f t="array" ref="J27">Comm_MCS_CodeRate(J16,J17)</f>
        <v>948</v>
      </c>
      <c r="K27" s="11" cm="1">
        <f t="array" ref="K27">Comm_MCS_CodeRate(K16,K17)</f>
        <v>948</v>
      </c>
      <c r="L27" s="28" cm="1">
        <f t="array" ref="L27">Comm_MCS_CodeRate(L16,L17)</f>
        <v>948</v>
      </c>
      <c r="M27" s="1" cm="1">
        <f t="array" ref="M27">Comm_MCS_CodeRate(M16,M17)</f>
        <v>948</v>
      </c>
      <c r="N27" s="1" cm="1">
        <f t="array" ref="N27">Comm_MCS_CodeRate(N16,N17)</f>
        <v>948</v>
      </c>
      <c r="O27" s="11" cm="1">
        <f t="array" ref="O27">Comm_MCS_CodeRate(O16,O17)</f>
        <v>948</v>
      </c>
      <c r="P27" s="28" cm="1">
        <f t="array" ref="P27">Comm_MCS_CodeRate(P16,P17)</f>
        <v>948</v>
      </c>
      <c r="Q27" s="1" cm="1">
        <f t="array" ref="Q27">Comm_MCS_CodeRate(Q16,Q17)</f>
        <v>948</v>
      </c>
      <c r="R27" s="1" cm="1">
        <f t="array" ref="R27">Comm_MCS_CodeRate(R16,R17)</f>
        <v>948</v>
      </c>
      <c r="S27" s="11" cm="1">
        <f t="array" ref="S27">Comm_MCS_CodeRate(S16,S17)</f>
        <v>948</v>
      </c>
      <c r="T27" s="28" cm="1">
        <f t="array" ref="T27">Comm_MCS_CodeRate(T16,T17)</f>
        <v>948</v>
      </c>
      <c r="U27" s="1" cm="1">
        <f t="array" ref="U27">Comm_MCS_CodeRate(U16,U17)</f>
        <v>948</v>
      </c>
      <c r="V27" s="1" cm="1">
        <f t="array" ref="V27">Comm_MCS_CodeRate(V16,V17)</f>
        <v>948</v>
      </c>
      <c r="W27" s="11" cm="1">
        <f t="array" ref="W27">Comm_MCS_CodeRate(W16,W17)</f>
        <v>948</v>
      </c>
      <c r="X27" s="28" cm="1">
        <f t="array" ref="X27">Comm_MCS_CodeRate(X16,X17)</f>
        <v>948</v>
      </c>
      <c r="Y27" s="1" cm="1">
        <f t="array" ref="Y27">Comm_MCS_CodeRate(Y16,Y17)</f>
        <v>948</v>
      </c>
      <c r="Z27" s="1" cm="1">
        <f t="array" ref="Z27">Comm_MCS_CodeRate(Z16,Z17)</f>
        <v>948</v>
      </c>
      <c r="AA27" s="11" cm="1">
        <f t="array" ref="AA27">Comm_MCS_CodeRate(AA16,AA17)</f>
        <v>948</v>
      </c>
      <c r="AB27" s="28" cm="1">
        <f t="array" ref="AB27">Comm_MCS_CodeRate(AB16,AB17)</f>
        <v>948</v>
      </c>
      <c r="AC27" s="1" cm="1">
        <f t="array" ref="AC27">Comm_MCS_CodeRate(AC16,AC17)</f>
        <v>948</v>
      </c>
      <c r="AD27" s="1" cm="1">
        <f t="array" ref="AD27">Comm_MCS_CodeRate(AD16,AD17)</f>
        <v>948</v>
      </c>
      <c r="AE27" s="11" cm="1">
        <f t="array" ref="AE27">Comm_MCS_CodeRate(AE16,AE17)</f>
        <v>948</v>
      </c>
      <c r="AF27" s="28" cm="1">
        <f t="array" ref="AF27">Comm_MCS_CodeRate(AF16,AF17)</f>
        <v>948</v>
      </c>
      <c r="AG27" s="1" cm="1">
        <f t="array" ref="AG27">Comm_MCS_CodeRate(AG16,AG17)</f>
        <v>948</v>
      </c>
      <c r="AH27" s="28" cm="1">
        <f t="array" ref="AH27">Comm_MCS_CodeRate(AH16,AH17)</f>
        <v>948</v>
      </c>
      <c r="AI27" s="1" cm="1">
        <f t="array" ref="AI27">Comm_MCS_CodeRate(AI16,AI17)</f>
        <v>948</v>
      </c>
      <c r="AJ27" s="28" cm="1">
        <f t="array" ref="AJ27">Comm_MCS_CodeRate(AJ16,AJ17)</f>
        <v>948</v>
      </c>
      <c r="AK27" s="1" cm="1">
        <f t="array" ref="AK27">Comm_MCS_CodeRate(AK16,AK17)</f>
        <v>948</v>
      </c>
      <c r="AL27" s="28" cm="1">
        <f t="array" ref="AL27">Comm_MCS_CodeRate(AL16,AL17)</f>
        <v>948</v>
      </c>
      <c r="AM27" s="1" cm="1">
        <f t="array" ref="AM27">Comm_MCS_CodeRate(AM16,AM17)</f>
        <v>948</v>
      </c>
    </row>
    <row r="28" spans="2:39" x14ac:dyDescent="0.35">
      <c r="B28" s="9" t="s">
        <v>31</v>
      </c>
      <c r="C28" s="1"/>
      <c r="D28" s="28" cm="1">
        <f t="array" ref="D28">Comm_Z(D11,D26,D27,D12,D13,D10/D18)</f>
        <v>384</v>
      </c>
      <c r="E28" s="1" cm="1">
        <f t="array" ref="E28">Comm_Z(E11,E26,E27,E12,E13,E10/E18)</f>
        <v>384</v>
      </c>
      <c r="F28" s="1" cm="1">
        <f t="array" ref="F28">Comm_Z(F11,F26,F27,F12,F13,F10/F18)</f>
        <v>384</v>
      </c>
      <c r="G28" s="1" cm="1">
        <f t="array" ref="G28">Comm_Z(G11,G26,G27,G12,G13,G10/G18)</f>
        <v>384</v>
      </c>
      <c r="H28" s="28" cm="1">
        <f t="array" ref="H28">Comm_Z(H11,H26,H27,H12,H13,H10/H18)</f>
        <v>384</v>
      </c>
      <c r="I28" s="1" cm="1">
        <f t="array" ref="I28">Comm_Z(I11,I26,I27,I12,I13,I10/I18)</f>
        <v>384</v>
      </c>
      <c r="J28" s="1" cm="1">
        <f t="array" ref="J28">Comm_Z(J11,J26,J27,J12,J13,J10/J18)</f>
        <v>384</v>
      </c>
      <c r="K28" s="11" cm="1">
        <f t="array" ref="K28">Comm_Z(K11,K26,K27,K12,K13,K10/K18)</f>
        <v>384</v>
      </c>
      <c r="L28" s="28" cm="1">
        <f t="array" ref="L28">Comm_Z(L11,L26,L27,L12,L13,L10/L18)</f>
        <v>384</v>
      </c>
      <c r="M28" s="1" cm="1">
        <f t="array" ref="M28">Comm_Z(M11,M26,M27,M12,M13,M10/M18)</f>
        <v>384</v>
      </c>
      <c r="N28" s="1" cm="1">
        <f t="array" ref="N28">Comm_Z(N11,N26,N27,N12,N13,N10/N18)</f>
        <v>384</v>
      </c>
      <c r="O28" s="11" cm="1">
        <f t="array" ref="O28">Comm_Z(O11,O26,O27,O12,O13,O10/O18)</f>
        <v>384</v>
      </c>
      <c r="P28" s="28" cm="1">
        <f t="array" ref="P28">Comm_Z(P11,P26,P27,P12,P13,P10/P18)</f>
        <v>384</v>
      </c>
      <c r="Q28" s="1" cm="1">
        <f t="array" ref="Q28">Comm_Z(Q11,Q26,Q27,Q12,Q13,Q10/Q18)</f>
        <v>384</v>
      </c>
      <c r="R28" s="1" cm="1">
        <f t="array" ref="R28">Comm_Z(R11,R26,R27,R12,R13,R10/R18)</f>
        <v>384</v>
      </c>
      <c r="S28" s="11" cm="1">
        <f t="array" ref="S28">Comm_Z(S11,S26,S27,S12,S13,S10/S18)</f>
        <v>384</v>
      </c>
      <c r="T28" s="28" cm="1">
        <f t="array" ref="T28">Comm_Z(T11,T26,T27,T12,T13,T10/T18)</f>
        <v>384</v>
      </c>
      <c r="U28" s="1" cm="1">
        <f t="array" ref="U28">Comm_Z(U11,U26,U27,U12,U13,U10/U18)</f>
        <v>384</v>
      </c>
      <c r="V28" s="1" cm="1">
        <f t="array" ref="V28">Comm_Z(V11,V26,V27,V12,V13,V10/V18)</f>
        <v>384</v>
      </c>
      <c r="W28" s="11" cm="1">
        <f t="array" ref="W28">Comm_Z(W11,W26,W27,W12,W13,W10/W18)</f>
        <v>384</v>
      </c>
      <c r="X28" s="28" cm="1">
        <f t="array" ref="X28">Comm_Z(X11,X26,X27,X12,X13,X10/X18)</f>
        <v>384</v>
      </c>
      <c r="Y28" s="1" cm="1">
        <f t="array" ref="Y28">Comm_Z(Y11,Y26,Y27,Y12,Y13,Y10/Y18)</f>
        <v>384</v>
      </c>
      <c r="Z28" s="1" cm="1">
        <f t="array" ref="Z28">Comm_Z(Z11,Z26,Z27,Z12,Z13,Z10/Z18)</f>
        <v>384</v>
      </c>
      <c r="AA28" s="11" cm="1">
        <f t="array" ref="AA28">Comm_Z(AA11,AA26,AA27,AA12,AA13,AA10/AA18)</f>
        <v>384</v>
      </c>
      <c r="AB28" s="28" cm="1">
        <f t="array" ref="AB28">Comm_Z(AB11,AB26,AB27,AB12,AB13,AB10/AB18)</f>
        <v>384</v>
      </c>
      <c r="AC28" s="1" cm="1">
        <f t="array" ref="AC28">Comm_Z(AC11,AC26,AC27,AC12,AC13,AC10/AC18)</f>
        <v>384</v>
      </c>
      <c r="AD28" s="1" cm="1">
        <f t="array" ref="AD28">Comm_Z(AD11,AD26,AD27,AD12,AD13,AD10/AD18)</f>
        <v>384</v>
      </c>
      <c r="AE28" s="11" cm="1">
        <f t="array" ref="AE28">Comm_Z(AE11,AE26,AE27,AE12,AE13,AE10/AE18)</f>
        <v>384</v>
      </c>
      <c r="AF28" s="28" cm="1">
        <f t="array" ref="AF28">Comm_Z(AF11,AF26,AF27,AF12,AF13,AF10/AF18)</f>
        <v>384</v>
      </c>
      <c r="AG28" s="1" cm="1">
        <f t="array" ref="AG28">Comm_Z(AG11,AG26,AG27,AG12,AG13,AG10/AG18)</f>
        <v>384</v>
      </c>
      <c r="AH28" s="28" cm="1">
        <f t="array" ref="AH28">Comm_Z(AH11,AH26,AH27,AH12,AH13,AH10/AH18)</f>
        <v>384</v>
      </c>
      <c r="AI28" s="1" cm="1">
        <f t="array" ref="AI28">Comm_Z(AI11,AI26,AI27,AI12,AI13,AI10/AI18)</f>
        <v>384</v>
      </c>
      <c r="AJ28" s="28" cm="1">
        <f t="array" ref="AJ28">Comm_Z(AJ11,AJ26,AJ27,AJ12,AJ13,AJ10/AJ18)</f>
        <v>352</v>
      </c>
      <c r="AK28" s="1" cm="1">
        <f t="array" ref="AK28">Comm_Z(AK11,AK26,AK27,AK12,AK13,AK10/AK18)</f>
        <v>352</v>
      </c>
      <c r="AL28" s="28" cm="1">
        <f t="array" ref="AL28">Comm_Z(AL11,AL26,AL27,AL12,AL13,AL10/AL18)</f>
        <v>320</v>
      </c>
      <c r="AM28" s="1" cm="1">
        <f t="array" ref="AM28">Comm_Z(AM11,AM26,AM27,AM12,AM13,AM10/AM18)</f>
        <v>320</v>
      </c>
    </row>
    <row r="29" spans="2:39" x14ac:dyDescent="0.35">
      <c r="B29" s="9" t="s">
        <v>32</v>
      </c>
      <c r="C29" s="1"/>
      <c r="D29" s="28" cm="1">
        <f t="array" ref="D29">Comm_TBS(D11,D26,D27,D12,D13,D10/D18)</f>
        <v>286976</v>
      </c>
      <c r="E29" s="1" cm="1">
        <f t="array" ref="E29">Comm_TBS(E11,E26,E27,E12,E13,E10/E18)</f>
        <v>286976</v>
      </c>
      <c r="F29" s="1" cm="1">
        <f t="array" ref="F29">Comm_TBS(F11,F26,F27,F12,F13,F10/F18)</f>
        <v>286976</v>
      </c>
      <c r="G29" s="1" cm="1">
        <f t="array" ref="G29">Comm_TBS(G11,G26,G27,G12,G13,G10/G18)</f>
        <v>286976</v>
      </c>
      <c r="H29" s="28" cm="1">
        <f t="array" ref="H29">Comm_TBS(H11,H26,H27,H12,H13,H10/H18)</f>
        <v>262376</v>
      </c>
      <c r="I29" s="1" cm="1">
        <f t="array" ref="I29">Comm_TBS(I11,I26,I27,I12,I13,I10/I18)</f>
        <v>262376</v>
      </c>
      <c r="J29" s="1" cm="1">
        <f t="array" ref="J29">Comm_TBS(J11,J26,J27,J12,J13,J10/J18)</f>
        <v>262376</v>
      </c>
      <c r="K29" s="11" cm="1">
        <f t="array" ref="K29">Comm_TBS(K11,K26,K27,K12,K13,K10/K18)</f>
        <v>262376</v>
      </c>
      <c r="L29" s="28" cm="1">
        <f t="array" ref="L29">Comm_TBS(L11,L26,L27,L12,L13,L10/L18)</f>
        <v>245976</v>
      </c>
      <c r="M29" s="1" cm="1">
        <f t="array" ref="M29">Comm_TBS(M11,M26,M27,M12,M13,M10/M18)</f>
        <v>245976</v>
      </c>
      <c r="N29" s="1" cm="1">
        <f t="array" ref="N29">Comm_TBS(N11,N26,N27,N12,N13,N10/N18)</f>
        <v>245976</v>
      </c>
      <c r="O29" s="11" cm="1">
        <f t="array" ref="O29">Comm_TBS(O11,O26,O27,O12,O13,O10/O18)</f>
        <v>245976</v>
      </c>
      <c r="P29" s="28" cm="1">
        <f t="array" ref="P29">Comm_TBS(P11,P26,P27,P12,P13,P10/P18)</f>
        <v>229576</v>
      </c>
      <c r="Q29" s="1" cm="1">
        <f t="array" ref="Q29">Comm_TBS(Q11,Q26,Q27,Q12,Q13,Q10/Q18)</f>
        <v>229576</v>
      </c>
      <c r="R29" s="1" cm="1">
        <f t="array" ref="R29">Comm_TBS(R11,R26,R27,R12,R13,R10/R18)</f>
        <v>229576</v>
      </c>
      <c r="S29" s="11" cm="1">
        <f t="array" ref="S29">Comm_TBS(S11,S26,S27,S12,S13,S10/S18)</f>
        <v>229576</v>
      </c>
      <c r="T29" s="28" cm="1">
        <f t="array" ref="T29">Comm_TBS(T11,T26,T27,T12,T13,T10/T18)</f>
        <v>217128</v>
      </c>
      <c r="U29" s="1" cm="1">
        <f t="array" ref="U29">Comm_TBS(U11,U26,U27,U12,U13,U10/U18)</f>
        <v>217128</v>
      </c>
      <c r="V29" s="1" cm="1">
        <f t="array" ref="V29">Comm_TBS(V11,V26,V27,V12,V13,V10/V18)</f>
        <v>217128</v>
      </c>
      <c r="W29" s="11" cm="1">
        <f t="array" ref="W29">Comm_TBS(W11,W26,W27,W12,W13,W10/W18)</f>
        <v>217128</v>
      </c>
      <c r="X29" s="28" cm="1">
        <f t="array" ref="X29">Comm_TBS(X11,X26,X27,X12,X13,X10/X18)</f>
        <v>200808</v>
      </c>
      <c r="Y29" s="1" cm="1">
        <f t="array" ref="Y29">Comm_TBS(Y11,Y26,Y27,Y12,Y13,Y10/Y18)</f>
        <v>200808</v>
      </c>
      <c r="Z29" s="1" cm="1">
        <f t="array" ref="Z29">Comm_TBS(Z11,Z26,Z27,Z12,Z13,Z10/Z18)</f>
        <v>200808</v>
      </c>
      <c r="AA29" s="11" cm="1">
        <f t="array" ref="AA29">Comm_TBS(AA11,AA26,AA27,AA12,AA13,AA10/AA18)</f>
        <v>200808</v>
      </c>
      <c r="AB29" s="28" cm="1">
        <f t="array" ref="AB29">Comm_TBS(AB11,AB26,AB27,AB12,AB13,AB10/AB18)</f>
        <v>270576</v>
      </c>
      <c r="AC29" s="1" cm="1">
        <f t="array" ref="AC29">Comm_TBS(AC11,AC26,AC27,AC12,AC13,AC10/AC18)</f>
        <v>270576</v>
      </c>
      <c r="AD29" s="1" cm="1">
        <f t="array" ref="AD29">Comm_TBS(AD11,AD26,AD27,AD12,AD13,AD10/AD18)</f>
        <v>270576</v>
      </c>
      <c r="AE29" s="11" cm="1">
        <f t="array" ref="AE29">Comm_TBS(AE11,AE26,AE27,AE12,AE13,AE10/AE18)</f>
        <v>270576</v>
      </c>
      <c r="AF29" s="28" cm="1">
        <f t="array" ref="AF29">Comm_TBS(AF11,AF26,AF27,AF12,AF13,AF10/AF18)</f>
        <v>286976</v>
      </c>
      <c r="AG29" s="1" cm="1">
        <f t="array" ref="AG29">Comm_TBS(AG11,AG26,AG27,AG12,AG13,AG10/AG18)</f>
        <v>286976</v>
      </c>
      <c r="AH29" s="28" cm="1">
        <f t="array" ref="AH29">Comm_TBS(AH11,AH26,AH27,AH12,AH13,AH10/AH18)</f>
        <v>143400</v>
      </c>
      <c r="AI29" s="1" cm="1">
        <f t="array" ref="AI29">Comm_TBS(AI11,AI26,AI27,AI12,AI13,AI10/AI18)</f>
        <v>143400</v>
      </c>
      <c r="AJ29" s="28" cm="1">
        <f t="array" ref="AJ29">Comm_TBS(AJ11,AJ26,AJ27,AJ12,AJ13,AJ10/AJ18)</f>
        <v>53288</v>
      </c>
      <c r="AK29" s="1" cm="1">
        <f t="array" ref="AK29">Comm_TBS(AK11,AK26,AK27,AK12,AK13,AK10/AK18)</f>
        <v>53288</v>
      </c>
      <c r="AL29" s="28" cm="1">
        <f t="array" ref="AL29">Comm_TBS(AL11,AL26,AL27,AL12,AL13,AL10/AL18)</f>
        <v>25608</v>
      </c>
      <c r="AM29" s="1" cm="1">
        <f t="array" ref="AM29">Comm_TBS(AM11,AM26,AM27,AM12,AM13,AM10/AM18)</f>
        <v>25608</v>
      </c>
    </row>
    <row r="30" spans="2:39" x14ac:dyDescent="0.35">
      <c r="B30" s="9" t="s">
        <v>33</v>
      </c>
      <c r="C30" s="1"/>
      <c r="D30" s="28" cm="1">
        <f t="array" ref="D30">Comm_CB(D11,D26,D27,D12,D13,D10/D18)</f>
        <v>35</v>
      </c>
      <c r="E30" s="1" cm="1">
        <f t="array" ref="E30">Comm_CB(E11,E26,E27,E12,E13,E10/E18)</f>
        <v>35</v>
      </c>
      <c r="F30" s="1" cm="1">
        <f t="array" ref="F30">Comm_CB(F11,F26,F27,F12,F13,F10/F18)</f>
        <v>35</v>
      </c>
      <c r="G30" s="1" cm="1">
        <f t="array" ref="G30">Comm_CB(G11,G26,G27,G12,G13,G10/G18)</f>
        <v>35</v>
      </c>
      <c r="H30" s="28" cm="1">
        <f t="array" ref="H30">Comm_CB(H11,H26,H27,H12,H13,H10/H18)</f>
        <v>32</v>
      </c>
      <c r="I30" s="1" cm="1">
        <f t="array" ref="I30">Comm_CB(I11,I26,I27,I12,I13,I10/I18)</f>
        <v>32</v>
      </c>
      <c r="J30" s="1" cm="1">
        <f t="array" ref="J30">Comm_CB(J11,J26,J27,J12,J13,J10/J18)</f>
        <v>32</v>
      </c>
      <c r="K30" s="11" cm="1">
        <f t="array" ref="K30">Comm_CB(K11,K26,K27,K12,K13,K10/K18)</f>
        <v>32</v>
      </c>
      <c r="L30" s="28" cm="1">
        <f t="array" ref="L30">Comm_CB(L11,L26,L27,L12,L13,L10/L18)</f>
        <v>30</v>
      </c>
      <c r="M30" s="1" cm="1">
        <f t="array" ref="M30">Comm_CB(M11,M26,M27,M12,M13,M10/M18)</f>
        <v>30</v>
      </c>
      <c r="N30" s="1" cm="1">
        <f t="array" ref="N30">Comm_CB(N11,N26,N27,N12,N13,N10/N18)</f>
        <v>30</v>
      </c>
      <c r="O30" s="11" cm="1">
        <f t="array" ref="O30">Comm_CB(O11,O26,O27,O12,O13,O10/O18)</f>
        <v>30</v>
      </c>
      <c r="P30" s="28" cm="1">
        <f t="array" ref="P30">Comm_CB(P11,P26,P27,P12,P13,P10/P18)</f>
        <v>28</v>
      </c>
      <c r="Q30" s="1" cm="1">
        <f t="array" ref="Q30">Comm_CB(Q11,Q26,Q27,Q12,Q13,Q10/Q18)</f>
        <v>28</v>
      </c>
      <c r="R30" s="1" cm="1">
        <f t="array" ref="R30">Comm_CB(R11,R26,R27,R12,R13,R10/R18)</f>
        <v>28</v>
      </c>
      <c r="S30" s="11" cm="1">
        <f t="array" ref="S30">Comm_CB(S11,S26,S27,S12,S13,S10/S18)</f>
        <v>28</v>
      </c>
      <c r="T30" s="28" cm="1">
        <f t="array" ref="T30">Comm_CB(T11,T26,T27,T12,T13,T10/T18)</f>
        <v>26</v>
      </c>
      <c r="U30" s="1" cm="1">
        <f t="array" ref="U30">Comm_CB(U11,U26,U27,U12,U13,U10/U18)</f>
        <v>26</v>
      </c>
      <c r="V30" s="1" cm="1">
        <f t="array" ref="V30">Comm_CB(V11,V26,V27,V12,V13,V10/V18)</f>
        <v>26</v>
      </c>
      <c r="W30" s="11" cm="1">
        <f t="array" ref="W30">Comm_CB(W11,W26,W27,W12,W13,W10/W18)</f>
        <v>26</v>
      </c>
      <c r="X30" s="28" cm="1">
        <f t="array" ref="X30">Comm_CB(X11,X26,X27,X12,X13,X10/X18)</f>
        <v>24</v>
      </c>
      <c r="Y30" s="1" cm="1">
        <f t="array" ref="Y30">Comm_CB(Y11,Y26,Y27,Y12,Y13,Y10/Y18)</f>
        <v>24</v>
      </c>
      <c r="Z30" s="1" cm="1">
        <f t="array" ref="Z30">Comm_CB(Z11,Z26,Z27,Z12,Z13,Z10/Z18)</f>
        <v>24</v>
      </c>
      <c r="AA30" s="11" cm="1">
        <f t="array" ref="AA30">Comm_CB(AA11,AA26,AA27,AA12,AA13,AA10/AA18)</f>
        <v>24</v>
      </c>
      <c r="AB30" s="28" cm="1">
        <f t="array" ref="AB30">Comm_CB(AB11,AB26,AB27,AB12,AB13,AB10/AB18)</f>
        <v>33</v>
      </c>
      <c r="AC30" s="1" cm="1">
        <f t="array" ref="AC30">Comm_CB(AC11,AC26,AC27,AC12,AC13,AC10/AC18)</f>
        <v>33</v>
      </c>
      <c r="AD30" s="1" cm="1">
        <f t="array" ref="AD30">Comm_CB(AD11,AD26,AD27,AD12,AD13,AD10/AD18)</f>
        <v>33</v>
      </c>
      <c r="AE30" s="11" cm="1">
        <f t="array" ref="AE30">Comm_CB(AE11,AE26,AE27,AE12,AE13,AE10/AE18)</f>
        <v>33</v>
      </c>
      <c r="AF30" s="28" cm="1">
        <f t="array" ref="AF30">Comm_CB(AF11,AF26,AF27,AF12,AF13,AF10/AF18)</f>
        <v>35</v>
      </c>
      <c r="AG30" s="1" cm="1">
        <f t="array" ref="AG30">Comm_CB(AG11,AG26,AG27,AG12,AG13,AG10/AG18)</f>
        <v>35</v>
      </c>
      <c r="AH30" s="28" cm="1">
        <f t="array" ref="AH30">Comm_CB(AH11,AH26,AH27,AH12,AH13,AH10/AH18)</f>
        <v>18</v>
      </c>
      <c r="AI30" s="1" cm="1">
        <f t="array" ref="AI30">Comm_CB(AI11,AI26,AI27,AI12,AI13,AI10/AI18)</f>
        <v>18</v>
      </c>
      <c r="AJ30" s="28" cm="1">
        <f t="array" ref="AJ30">Comm_CB(AJ11,AJ26,AJ27,AJ12,AJ13,AJ10/AJ18)</f>
        <v>7</v>
      </c>
      <c r="AK30" s="1" cm="1">
        <f t="array" ref="AK30">Comm_CB(AK11,AK26,AK27,AK12,AK13,AK10/AK18)</f>
        <v>7</v>
      </c>
      <c r="AL30" s="28" cm="1">
        <f t="array" ref="AL30">Comm_CB(AL11,AL26,AL27,AL12,AL13,AL10/AL18)</f>
        <v>4</v>
      </c>
      <c r="AM30" s="1" cm="1">
        <f t="array" ref="AM30">Comm_CB(AM11,AM26,AM27,AM12,AM13,AM10/AM18)</f>
        <v>4</v>
      </c>
    </row>
    <row r="31" spans="2:39" x14ac:dyDescent="0.35">
      <c r="B31" s="9" t="s">
        <v>34</v>
      </c>
      <c r="D31" s="30" cm="1">
        <f t="array" ref="D31">Comm_Parity_Nodes(D11,D26,D27,D12,D13,D10/D18)</f>
        <v>4</v>
      </c>
      <c r="E31" s="31" cm="1">
        <f t="array" ref="E31">Comm_Parity_Nodes(E11,E26,E27,E12,E13,E10/E18)</f>
        <v>4</v>
      </c>
      <c r="F31" s="31" cm="1">
        <f t="array" ref="F31">Comm_Parity_Nodes(F11,F26,F27,F12,F13,F10/F18)</f>
        <v>4</v>
      </c>
      <c r="G31" s="31" cm="1">
        <f t="array" ref="G31">Comm_Parity_Nodes(G11,G26,G27,G12,G13,G10/G18)</f>
        <v>4</v>
      </c>
      <c r="H31" s="30" cm="1">
        <f t="array" ref="H31">Comm_Parity_Nodes(H11,H26,H27,H12,H13,H10/H18)</f>
        <v>4</v>
      </c>
      <c r="I31" s="31" cm="1">
        <f t="array" ref="I31">Comm_Parity_Nodes(I11,I26,I27,I12,I13,I10/I18)</f>
        <v>4</v>
      </c>
      <c r="J31" s="31" cm="1">
        <f t="array" ref="J31">Comm_Parity_Nodes(J11,J26,J27,J12,J13,J10/J18)</f>
        <v>4</v>
      </c>
      <c r="K31" s="12" cm="1">
        <f t="array" ref="K31">Comm_Parity_Nodes(K11,K26,K27,K12,K13,K10/K18)</f>
        <v>4</v>
      </c>
      <c r="L31" s="30" cm="1">
        <f t="array" ref="L31">Comm_Parity_Nodes(L11,L26,L27,L12,L13,L10/L18)</f>
        <v>4</v>
      </c>
      <c r="M31" s="31" cm="1">
        <f t="array" ref="M31">Comm_Parity_Nodes(M11,M26,M27,M12,M13,M10/M18)</f>
        <v>4</v>
      </c>
      <c r="N31" s="31" cm="1">
        <f t="array" ref="N31">Comm_Parity_Nodes(N11,N26,N27,N12,N13,N10/N18)</f>
        <v>4</v>
      </c>
      <c r="O31" s="12" cm="1">
        <f t="array" ref="O31">Comm_Parity_Nodes(O11,O26,O27,O12,O13,O10/O18)</f>
        <v>4</v>
      </c>
      <c r="P31" s="30" cm="1">
        <f t="array" ref="P31">Comm_Parity_Nodes(P11,P26,P27,P12,P13,P10/P18)</f>
        <v>4</v>
      </c>
      <c r="Q31" s="31" cm="1">
        <f t="array" ref="Q31">Comm_Parity_Nodes(Q11,Q26,Q27,Q12,Q13,Q10/Q18)</f>
        <v>4</v>
      </c>
      <c r="R31" s="31" cm="1">
        <f t="array" ref="R31">Comm_Parity_Nodes(R11,R26,R27,R12,R13,R10/R18)</f>
        <v>4</v>
      </c>
      <c r="S31" s="12" cm="1">
        <f t="array" ref="S31">Comm_Parity_Nodes(S11,S26,S27,S12,S13,S10/S18)</f>
        <v>4</v>
      </c>
      <c r="T31" s="30" cm="1">
        <f t="array" ref="T31">Comm_Parity_Nodes(T11,T26,T27,T12,T13,T10/T18)</f>
        <v>4</v>
      </c>
      <c r="U31" s="31" cm="1">
        <f t="array" ref="U31">Comm_Parity_Nodes(U11,U26,U27,U12,U13,U10/U18)</f>
        <v>4</v>
      </c>
      <c r="V31" s="31" cm="1">
        <f t="array" ref="V31">Comm_Parity_Nodes(V11,V26,V27,V12,V13,V10/V18)</f>
        <v>4</v>
      </c>
      <c r="W31" s="12" cm="1">
        <f t="array" ref="W31">Comm_Parity_Nodes(W11,W26,W27,W12,W13,W10/W18)</f>
        <v>4</v>
      </c>
      <c r="X31" s="30" cm="1">
        <f t="array" ref="X31">Comm_Parity_Nodes(X11,X26,X27,X12,X13,X10/X18)</f>
        <v>4</v>
      </c>
      <c r="Y31" s="31" cm="1">
        <f t="array" ref="Y31">Comm_Parity_Nodes(Y11,Y26,Y27,Y12,Y13,Y10/Y18)</f>
        <v>4</v>
      </c>
      <c r="Z31" s="31" cm="1">
        <f t="array" ref="Z31">Comm_Parity_Nodes(Z11,Z26,Z27,Z12,Z13,Z10/Z18)</f>
        <v>4</v>
      </c>
      <c r="AA31" s="12" cm="1">
        <f t="array" ref="AA31">Comm_Parity_Nodes(AA11,AA26,AA27,AA12,AA13,AA10/AA18)</f>
        <v>4</v>
      </c>
      <c r="AB31" s="30" cm="1">
        <f t="array" ref="AB31">Comm_Parity_Nodes(AB11,AB26,AB27,AB12,AB13,AB10/AB18)</f>
        <v>4</v>
      </c>
      <c r="AC31" s="31" cm="1">
        <f t="array" ref="AC31">Comm_Parity_Nodes(AC11,AC26,AC27,AC12,AC13,AC10/AC18)</f>
        <v>4</v>
      </c>
      <c r="AD31" s="31" cm="1">
        <f t="array" ref="AD31">Comm_Parity_Nodes(AD11,AD26,AD27,AD12,AD13,AD10/AD18)</f>
        <v>4</v>
      </c>
      <c r="AE31" s="12" cm="1">
        <f t="array" ref="AE31">Comm_Parity_Nodes(AE11,AE26,AE27,AE12,AE13,AE10/AE18)</f>
        <v>4</v>
      </c>
      <c r="AF31" s="30" cm="1">
        <f t="array" ref="AF31">Comm_Parity_Nodes(AF11,AF26,AF27,AF12,AF13,AF10/AF18)</f>
        <v>4</v>
      </c>
      <c r="AG31" s="31" cm="1">
        <f t="array" ref="AG31">Comm_Parity_Nodes(AG11,AG26,AG27,AG12,AG13,AG10/AG18)</f>
        <v>4</v>
      </c>
      <c r="AH31" s="30" cm="1">
        <f t="array" ref="AH31">Comm_Parity_Nodes(AH11,AH26,AH27,AH12,AH13,AH10/AH18)</f>
        <v>4</v>
      </c>
      <c r="AI31" s="31" cm="1">
        <f t="array" ref="AI31">Comm_Parity_Nodes(AI11,AI26,AI27,AI12,AI13,AI10/AI18)</f>
        <v>4</v>
      </c>
      <c r="AJ31" s="30" cm="1">
        <f t="array" ref="AJ31">Comm_Parity_Nodes(AJ11,AJ26,AJ27,AJ12,AJ13,AJ10/AJ18)</f>
        <v>4</v>
      </c>
      <c r="AK31" s="31" cm="1">
        <f t="array" ref="AK31">Comm_Parity_Nodes(AK11,AK26,AK27,AK12,AK13,AK10/AK18)</f>
        <v>4</v>
      </c>
      <c r="AL31" s="30" cm="1">
        <f t="array" ref="AL31">Comm_Parity_Nodes(AL11,AL26,AL27,AL12,AL13,AL10/AL18)</f>
        <v>4</v>
      </c>
      <c r="AM31" s="31" cm="1">
        <f t="array" ref="AM31">Comm_Parity_Nodes(AM11,AM26,AM27,AM12,AM13,AM10/AM18)</f>
        <v>4</v>
      </c>
    </row>
    <row r="32" spans="2:39" x14ac:dyDescent="0.35">
      <c r="B32" s="6" t="s">
        <v>35</v>
      </c>
      <c r="D32" s="29"/>
      <c r="E32" s="17"/>
      <c r="F32" s="17"/>
      <c r="G32" s="17"/>
      <c r="H32" s="29"/>
      <c r="I32" s="17"/>
      <c r="J32" s="17"/>
      <c r="K32" s="16"/>
      <c r="L32" s="29"/>
      <c r="M32" s="17"/>
      <c r="N32" s="17"/>
      <c r="O32" s="16"/>
      <c r="P32" s="29"/>
      <c r="Q32" s="17"/>
      <c r="R32" s="17"/>
      <c r="S32" s="16"/>
      <c r="T32" s="29"/>
      <c r="U32" s="17"/>
      <c r="V32" s="17"/>
      <c r="W32" s="16"/>
      <c r="X32" s="29"/>
      <c r="Y32" s="17"/>
      <c r="Z32" s="17"/>
      <c r="AA32" s="16"/>
      <c r="AB32" s="29"/>
      <c r="AC32" s="17"/>
      <c r="AD32" s="17"/>
      <c r="AE32" s="16"/>
      <c r="AF32" s="29"/>
      <c r="AG32" s="17"/>
      <c r="AH32" s="29"/>
      <c r="AI32" s="17"/>
      <c r="AJ32" s="29"/>
      <c r="AK32" s="17"/>
      <c r="AL32" s="29"/>
      <c r="AM32" s="17"/>
    </row>
    <row r="33" spans="2:39" x14ac:dyDescent="0.35">
      <c r="B33" s="9" t="s">
        <v>36</v>
      </c>
      <c r="D33" s="26"/>
      <c r="H33" s="26"/>
      <c r="K33" s="19"/>
      <c r="L33" s="26"/>
      <c r="O33" s="19"/>
      <c r="P33" s="26"/>
      <c r="S33" s="19"/>
      <c r="T33" s="26"/>
      <c r="W33" s="19"/>
      <c r="X33" s="26"/>
      <c r="AA33" s="19"/>
      <c r="AB33" s="26"/>
      <c r="AE33" s="19"/>
      <c r="AF33" s="26"/>
      <c r="AH33" s="26"/>
      <c r="AJ33" s="26"/>
      <c r="AL33" s="26"/>
    </row>
    <row r="34" spans="2:39" ht="15" thickBot="1" x14ac:dyDescent="0.4">
      <c r="B34" s="9" t="s">
        <v>56</v>
      </c>
      <c r="D34" s="38">
        <f>SUMPRODUCT(D18:G18, D29:G29)   / 5 / 0.5/1000/1000</f>
        <v>0.9183231999999999</v>
      </c>
      <c r="E34" s="32"/>
      <c r="F34" s="32"/>
      <c r="G34" s="32"/>
      <c r="H34" s="38">
        <f>SUMPRODUCT(H18:K18, H29:K29)   / 5 / 0.5/1000/1000</f>
        <v>0.83960319999999988</v>
      </c>
      <c r="I34" s="32"/>
      <c r="J34" s="32"/>
      <c r="K34" s="33"/>
      <c r="L34" s="38">
        <f>SUMPRODUCT(L18:O18, L29:O29)   / 5 / 0.5/1000/1000</f>
        <v>0.78712320000000002</v>
      </c>
      <c r="M34" s="32"/>
      <c r="N34" s="32"/>
      <c r="O34" s="33"/>
      <c r="P34" s="38">
        <f>SUMPRODUCT(P18:S18, P29:S29)   / 5 / 0.5/1000/1000</f>
        <v>0.73464319999999994</v>
      </c>
      <c r="Q34" s="32"/>
      <c r="R34" s="32"/>
      <c r="S34" s="33"/>
      <c r="T34" s="38">
        <f>SUMPRODUCT(T18:W18, T29:W29)   / 5 / 0.5/1000/1000</f>
        <v>0.69480959999999992</v>
      </c>
      <c r="U34" s="32"/>
      <c r="V34" s="32"/>
      <c r="W34" s="33"/>
      <c r="X34" s="38">
        <f>SUMPRODUCT(X18:AA18, X29:AA29)   / 5 / 0.5/1000/1000</f>
        <v>0.64258559999999998</v>
      </c>
      <c r="Y34" s="32"/>
      <c r="Z34" s="32"/>
      <c r="AA34" s="33"/>
      <c r="AB34" s="38">
        <f>SUMPRODUCT(AB18:AE18, AB29:AE29)   / 5 / 0.5/1000/1000</f>
        <v>0.86584319999999992</v>
      </c>
      <c r="AC34" s="32"/>
      <c r="AD34" s="32"/>
      <c r="AE34" s="33"/>
      <c r="AF34" s="38">
        <f>SUMPRODUCT(AF18:AG18, AF29:AG29)   / 5 / 0.5/1000/1000</f>
        <v>0.9183231999999999</v>
      </c>
      <c r="AG34" s="32"/>
      <c r="AH34" s="38">
        <f>SUMPRODUCT(AH18:AI18, AH29:AI29)   / 5 / 0.5/1000/1000</f>
        <v>0.45888000000000001</v>
      </c>
      <c r="AI34" s="32"/>
      <c r="AJ34" s="38">
        <f>SUMPRODUCT(AJ18:AK18, AJ29:AK29)   / 5 / 0.5/1000/1000</f>
        <v>0.1705216</v>
      </c>
      <c r="AK34" s="32"/>
      <c r="AL34" s="38">
        <f>SUMPRODUCT(AL18:AM18, AL29:AM29)   / 5 / 0.5/1000/1000</f>
        <v>8.1945599999999993E-2</v>
      </c>
      <c r="AM34" s="3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F92E8D-40EF-4031-927C-7B228DA0D32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V01 - PDSCH</vt:lpstr>
      <vt:lpstr>V01 - PUSCH</vt:lpstr>
      <vt:lpstr>V08 - PDSCH</vt:lpstr>
      <vt:lpstr>V08 - PUSCH</vt:lpstr>
      <vt:lpstr>U08 - PUSCH</vt:lpstr>
      <vt:lpstr>V15 - PDSCH</vt:lpstr>
      <vt:lpstr>V15 - PUSCH</vt:lpstr>
      <vt:lpstr>V16 - PDSCH</vt:lpstr>
      <vt:lpstr>V16 - PUSCH</vt:lpstr>
      <vt:lpstr>V09 - PDSCH</vt:lpstr>
      <vt:lpstr>V09 - PUSCH</vt:lpstr>
      <vt:lpstr>U09 - PUSCH</vt:lpstr>
      <vt:lpstr>V14 - PDSCH</vt:lpstr>
      <vt:lpstr>V14 - PUSCH</vt:lpstr>
      <vt:lpstr>U14 - PUSCH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1.0</dc:title>
  <dc:subject/>
  <dc:creator>Tommaso Balercia</dc:creator>
  <cp:keywords/>
  <dc:description/>
  <cp:lastModifiedBy>Yongce Chen</cp:lastModifiedBy>
  <cp:revision/>
  <dcterms:created xsi:type="dcterms:W3CDTF">2020-04-01T21:44:52Z</dcterms:created>
  <dcterms:modified xsi:type="dcterms:W3CDTF">2023-07-27T18:12:58Z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